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C:\Users\nbattle\Downloads\"/>
    </mc:Choice>
  </mc:AlternateContent>
  <xr:revisionPtr revIDLastSave="0" documentId="8_{DB87C636-D050-43C5-AB04-AC99D691B127}" xr6:coauthVersionLast="47" xr6:coauthVersionMax="47" xr10:uidLastSave="{00000000-0000-0000-0000-000000000000}"/>
  <bookViews>
    <workbookView xWindow="-28920" yWindow="-120" windowWidth="29040" windowHeight="15840" xr2:uid="{08A360CA-9877-44AE-8AF7-86428C402631}"/>
  </bookViews>
  <sheets>
    <sheet name="2024" sheetId="1" r:id="rId1"/>
    <sheet name="Write Offs&amp;In Progress" sheetId="2" r:id="rId2"/>
  </sheets>
  <definedNames>
    <definedName name="_xlnm._FilterDatabase" localSheetId="0" hidden="1">'2024'!$A$1:$J$114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8" i="2" l="1"/>
  <c r="D27" i="2"/>
  <c r="D26" i="2"/>
  <c r="D307" i="1"/>
  <c r="D306" i="1"/>
  <c r="D305" i="1"/>
  <c r="D304" i="1"/>
  <c r="D303" i="1"/>
  <c r="D302" i="1"/>
  <c r="D301" i="1"/>
  <c r="D25" i="2"/>
  <c r="D299" i="1"/>
  <c r="D300" i="1"/>
  <c r="D294" i="1"/>
  <c r="D24" i="2"/>
  <c r="D292" i="1"/>
  <c r="D293" i="1"/>
  <c r="D295" i="1"/>
  <c r="D296" i="1"/>
  <c r="D297" i="1"/>
  <c r="D298" i="1"/>
  <c r="D291" i="1"/>
  <c r="D290" i="1"/>
  <c r="D289" i="1"/>
  <c r="D23" i="2"/>
  <c r="D22" i="2"/>
  <c r="D21" i="2"/>
  <c r="D288" i="1"/>
  <c r="D287" i="1"/>
  <c r="D286" i="1"/>
  <c r="D285" i="1"/>
  <c r="D284" i="1"/>
  <c r="D283" i="1"/>
  <c r="D282" i="1"/>
  <c r="D281" i="1"/>
  <c r="D280" i="1"/>
  <c r="D279" i="1"/>
  <c r="D278" i="1"/>
  <c r="D277" i="1"/>
  <c r="D276" i="1"/>
  <c r="D275" i="1"/>
  <c r="D274" i="1"/>
  <c r="D273" i="1"/>
  <c r="D272" i="1"/>
  <c r="D271" i="1"/>
  <c r="D270" i="1"/>
  <c r="D3" i="2"/>
  <c r="D4" i="2"/>
  <c r="D5" i="2"/>
  <c r="D6" i="2"/>
  <c r="D7" i="2"/>
  <c r="D8" i="2"/>
  <c r="D9" i="2"/>
  <c r="D10" i="2"/>
  <c r="D11" i="2"/>
  <c r="D20" i="2"/>
  <c r="D19" i="2"/>
  <c r="D18" i="2"/>
  <c r="D17" i="2"/>
  <c r="D16" i="2"/>
  <c r="D15" i="2"/>
  <c r="D14" i="2"/>
  <c r="D13" i="2"/>
  <c r="D12" i="2"/>
  <c r="D269" i="1"/>
  <c r="D268" i="1"/>
  <c r="D267" i="1"/>
  <c r="D266" i="1"/>
  <c r="D265" i="1"/>
  <c r="D264" i="1"/>
  <c r="D263" i="1"/>
  <c r="D262" i="1"/>
  <c r="D261" i="1"/>
  <c r="D260" i="1"/>
  <c r="D259" i="1"/>
  <c r="D258" i="1"/>
  <c r="D257" i="1"/>
  <c r="D256" i="1"/>
  <c r="D255" i="1"/>
  <c r="D254" i="1"/>
  <c r="D253" i="1"/>
  <c r="D252" i="1"/>
  <c r="D251" i="1"/>
  <c r="D250" i="1"/>
  <c r="D249" i="1"/>
  <c r="D248" i="1"/>
  <c r="D247" i="1"/>
  <c r="D246" i="1"/>
  <c r="D245" i="1"/>
  <c r="D244" i="1"/>
  <c r="D243" i="1"/>
  <c r="D242" i="1"/>
  <c r="D241" i="1"/>
  <c r="D240" i="1"/>
  <c r="D239" i="1"/>
  <c r="D238" i="1"/>
  <c r="D226" i="1"/>
  <c r="D227" i="1"/>
  <c r="D228" i="1"/>
  <c r="D229" i="1"/>
  <c r="D230" i="1"/>
  <c r="D231" i="1"/>
  <c r="D232" i="1"/>
  <c r="D233" i="1"/>
  <c r="D234" i="1"/>
  <c r="D235" i="1"/>
  <c r="D236" i="1"/>
  <c r="D237" i="1"/>
  <c r="D210" i="1"/>
  <c r="D211" i="1"/>
  <c r="D212" i="1"/>
  <c r="D213" i="1"/>
  <c r="D214" i="1"/>
  <c r="D215" i="1"/>
  <c r="D216" i="1"/>
  <c r="D217" i="1"/>
  <c r="D218" i="1"/>
  <c r="D219" i="1"/>
  <c r="D220" i="1"/>
  <c r="D221" i="1"/>
  <c r="D222" i="1"/>
  <c r="D223" i="1"/>
  <c r="D224" i="1"/>
  <c r="D225" i="1"/>
  <c r="D195" i="1"/>
  <c r="D196" i="1"/>
  <c r="D197" i="1"/>
  <c r="D198" i="1"/>
  <c r="D199" i="1"/>
  <c r="D200" i="1"/>
  <c r="D201" i="1"/>
  <c r="D202" i="1"/>
  <c r="D203" i="1"/>
  <c r="D204" i="1"/>
  <c r="D205" i="1"/>
  <c r="D206" i="1"/>
  <c r="D207" i="1"/>
  <c r="D208" i="1"/>
  <c r="D209" i="1"/>
  <c r="D194" i="1"/>
  <c r="D184" i="1"/>
  <c r="D185" i="1"/>
  <c r="D186" i="1"/>
  <c r="D187" i="1"/>
  <c r="D188" i="1"/>
  <c r="D189" i="1"/>
  <c r="D190" i="1"/>
  <c r="D191" i="1"/>
  <c r="D192" i="1"/>
  <c r="D193" i="1"/>
  <c r="D182" i="1"/>
  <c r="D183" i="1"/>
  <c r="D178" i="1"/>
  <c r="D179" i="1"/>
  <c r="D180" i="1"/>
  <c r="D181" i="1"/>
  <c r="D169" i="1"/>
  <c r="D170" i="1"/>
  <c r="D171" i="1"/>
  <c r="D172" i="1"/>
  <c r="D173" i="1"/>
  <c r="D174" i="1"/>
  <c r="D175" i="1"/>
  <c r="D176" i="1"/>
  <c r="D177" i="1"/>
  <c r="D155" i="1"/>
  <c r="D156" i="1"/>
  <c r="D157" i="1"/>
  <c r="D158" i="1"/>
  <c r="D159" i="1"/>
  <c r="D160" i="1"/>
  <c r="D161" i="1"/>
  <c r="D162" i="1"/>
  <c r="D163" i="1"/>
  <c r="D164" i="1"/>
  <c r="D165" i="1"/>
  <c r="D166" i="1"/>
  <c r="D167" i="1"/>
  <c r="D168" i="1"/>
  <c r="D154" i="1"/>
  <c r="D153" i="1"/>
  <c r="D152" i="1"/>
  <c r="D151" i="1"/>
  <c r="D150" i="1"/>
  <c r="D149" i="1"/>
  <c r="D148" i="1"/>
  <c r="D147" i="1"/>
  <c r="D146" i="1"/>
  <c r="D145" i="1"/>
  <c r="D144" i="1"/>
  <c r="D143" i="1"/>
  <c r="D142" i="1"/>
  <c r="D141" i="1"/>
  <c r="D140" i="1"/>
  <c r="D139" i="1"/>
  <c r="D138" i="1"/>
  <c r="D137" i="1"/>
  <c r="D136" i="1"/>
  <c r="D135" i="1"/>
  <c r="D134" i="1"/>
  <c r="D133" i="1"/>
  <c r="D132" i="1"/>
  <c r="D131" i="1"/>
  <c r="D130" i="1"/>
  <c r="D129" i="1"/>
  <c r="D128" i="1"/>
  <c r="D127" i="1"/>
  <c r="D114" i="1"/>
  <c r="D115" i="1"/>
  <c r="D116" i="1"/>
  <c r="D117" i="1"/>
  <c r="D118" i="1"/>
  <c r="D119" i="1"/>
  <c r="D120" i="1"/>
  <c r="D121" i="1"/>
  <c r="D122" i="1"/>
  <c r="D123" i="1"/>
  <c r="D124" i="1"/>
  <c r="D125" i="1"/>
  <c r="D126" i="1"/>
  <c r="D111" i="1"/>
  <c r="D105" i="1"/>
  <c r="D106" i="1"/>
  <c r="D107" i="1"/>
  <c r="D108" i="1"/>
  <c r="D109" i="1"/>
  <c r="D110" i="1"/>
  <c r="D112" i="1"/>
  <c r="D113"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alcChain>
</file>

<file path=xl/sharedStrings.xml><?xml version="1.0" encoding="utf-8"?>
<sst xmlns="http://schemas.openxmlformats.org/spreadsheetml/2006/main" count="2104" uniqueCount="472">
  <si>
    <t>Serial Number</t>
  </si>
  <si>
    <t>Board Model</t>
  </si>
  <si>
    <t>Board Type</t>
  </si>
  <si>
    <t>Repair attempts</t>
  </si>
  <si>
    <t>Source</t>
  </si>
  <si>
    <t>Fault description</t>
  </si>
  <si>
    <t>Technican</t>
  </si>
  <si>
    <t>Date</t>
  </si>
  <si>
    <t>Repair Description</t>
  </si>
  <si>
    <t>Notes</t>
  </si>
  <si>
    <t>GREEN</t>
  </si>
  <si>
    <t>REPAIRED</t>
  </si>
  <si>
    <t>AG18022D</t>
  </si>
  <si>
    <t>Controller</t>
  </si>
  <si>
    <t>QLD</t>
  </si>
  <si>
    <t>Modem not working</t>
  </si>
  <si>
    <t>AC</t>
  </si>
  <si>
    <t>Replaced D81</t>
  </si>
  <si>
    <t>AMBER</t>
  </si>
  <si>
    <t>IN PROGRESS</t>
  </si>
  <si>
    <t>AG18022C</t>
  </si>
  <si>
    <t>No HB</t>
  </si>
  <si>
    <t>No debug info, replaced CPU, all OK</t>
  </si>
  <si>
    <t>RED</t>
  </si>
  <si>
    <t>WRITE OFF</t>
  </si>
  <si>
    <t>Loads SD looking at debug info, sugests the ram is bad, replaced both rams, all ok</t>
  </si>
  <si>
    <t>AG18022F</t>
  </si>
  <si>
    <t>Modem intermittent</t>
  </si>
  <si>
    <t xml:space="preserve">Reflowed Modem socket @ 300 degrees for 5 mins, all OK. </t>
  </si>
  <si>
    <t>Not charging</t>
  </si>
  <si>
    <t xml:space="preserve">Not charging batteries. Found TMP sense line reading 225 ohms. Replaced LT8490 with new IC. The controller is now charging properly and TMP line is reading above 4K which is correct. </t>
  </si>
  <si>
    <t>Not charging batteries, when plugged in to charge no red or blue led. TMP sense line reading correctly, replaced LT8490, now charging batteries. Found R409 out of spec (high resistance) causing an Annulus led error. Replaced R409.</t>
  </si>
  <si>
    <t>Not charging batteries, when plugged in to charge red and blue led hard on. Replaced LT8490, controller now charging batteries.</t>
  </si>
  <si>
    <t>Power fault &amp; not charging</t>
  </si>
  <si>
    <t xml:space="preserve">No power, not charging and u100 missing – Soldered a new u100, controller now has power, but not charging. Found LT8490 faulty and D200 shorted. Replaced D200, D201, LT8490, Q200, Q201. Controller now charging all ok. </t>
  </si>
  <si>
    <t>Power fault</t>
  </si>
  <si>
    <t xml:space="preserve">Power fault found a 3v7 short. Replaced caps and inductor on the 3V7 line of the power regulator. The short circuit has now been removed and the controller is working OK.  </t>
  </si>
  <si>
    <t xml:space="preserve">Noted that controller will charge from DC side of charging but not Solar, indicating an issue with Q35 and not LT8490. Replaced Q35, controller now charging on both solar and DC. </t>
  </si>
  <si>
    <t xml:space="preserve">Corrosion, damaged modem socket and D81 missing. Replaced modem socket and D81, modem now working, replaced SD card slot as it was corroded and not holding the SD card in very well. Controller now OK. </t>
  </si>
  <si>
    <t xml:space="preserve">CPU shorted, 1V2 Line shorted. Replaced CPU, controller all ok. </t>
  </si>
  <si>
    <t xml:space="preserve">Replaced LT8490 and some resistors on the back, All OK.  </t>
  </si>
  <si>
    <t xml:space="preserve">Replaced LT8490. </t>
  </si>
  <si>
    <t xml:space="preserve">Found Q200 Shorted. Replaced Q200, Replaced R6 which was open.  Charging now OK now. Upon further testing found ethernet port faulty due to corrosion, replaced ethernet port, all ok. </t>
  </si>
  <si>
    <t>Not charging &amp; Modem fault</t>
  </si>
  <si>
    <t xml:space="preserve">Not charging, modem not working. Replaced modem sim card socket. Resoldered TMP sense jump wire. Modem chip inside socket also faulty. Board OK now. </t>
  </si>
  <si>
    <t xml:space="preserve">3V7 shorted, removed modem that was in the socket. Short circuit removed, faulty modem chip causing a power short, all OK with another Modem. </t>
  </si>
  <si>
    <t xml:space="preserve">3V7 line shorted. Replaced R113, R110, R107 and U100, all OK. </t>
  </si>
  <si>
    <t>No HB, Power fault. 3V7 Rail keeps shorting out. Replaced U100 and R107, all OK.</t>
  </si>
  <si>
    <t xml:space="preserve">3V3 Shorted. Observed hot spot on PCB with FLIR camera. Short appears to be coming from the CPU. Removed CPU, 3V3 short now disappeared. Replaced CPU.  Controller now all OK. </t>
  </si>
  <si>
    <t>Modem Fault</t>
  </si>
  <si>
    <t xml:space="preserve">Modem not working. Reflowed modem socket, modem worked for a bit, but was consistently intermittent. Replaced modem socket, replaced sim socket, resoldered the following parts which looked like dry solder joins due to laquer, D81, D82, R82 R83 R84. Controller All OK. </t>
  </si>
  <si>
    <t>Production</t>
  </si>
  <si>
    <t>No power. Found R509 missing from the board, appears to be chipped off PCB most likely due to poor handling. Found SD card installed in board also faulty. Replaced R509 and tested controller with a working SD card, All OK</t>
  </si>
  <si>
    <t xml:space="preserve">Modem not working, found modem chip faulty, all OK with working modem chip. </t>
  </si>
  <si>
    <t>Charging status offline, Replaced LT8490/ PCB was also was getting stuck loading sd card, reflowed cpu and surrounding networking resistors, all OK.</t>
  </si>
  <si>
    <t xml:space="preserve">No HB, fails to load the SD Card when looking at debug info. Replaced CPU and both RAMs. Also touched up soldering on the networking resistors surrounding the CPU. All OK now </t>
  </si>
  <si>
    <t xml:space="preserve">Not charging </t>
  </si>
  <si>
    <t>Not charging, replaced LT8490, all OK</t>
  </si>
  <si>
    <t>Modem not working, found modem socket faulty as some tracks were not connected due to poor soldering of the socket. Replaced modem socket, all OK.</t>
  </si>
  <si>
    <t>Not Charging</t>
  </si>
  <si>
    <t>Not charging. Found TMP sense line low resistance. Removed faulty LT8490. Replaced LT8490. Now charging OK and TMP line reading correct values</t>
  </si>
  <si>
    <t>Tilt IC not working</t>
  </si>
  <si>
    <t>Reflowed Tilt IC, all ok</t>
  </si>
  <si>
    <t>5V Line getting hot when observed with FLIR camera. Controller is drawing 0.10A with no SD card and just power which is abnormal. Found R508 shorted. Replaced R508, all ok.</t>
  </si>
  <si>
    <t>Power flickering on and off. Found R508 open/high resistance. Replaced R508, all ok</t>
  </si>
  <si>
    <t xml:space="preserve">red + blue flashing light indicating invalid battery temp. TMP line is measuring the correct ohms. Resoldered D3 which was soldered bad, now Charging OK. </t>
  </si>
  <si>
    <t>- When Solar is plugged in, red light is hard on and not charging. Replaced all charging mosfets (Q200-Q203). All OK.</t>
  </si>
  <si>
    <t>Modem fault</t>
  </si>
  <si>
    <t>Modem not working due to damaged pins from lacquer. Changed modem socket, all ok.</t>
  </si>
  <si>
    <t>abnormal amount of current for standby when compared to a working controller. U40 warm upon observations with FLIR Camera. . Replaced U40 and U35. D40 also found to be faulty, replaced D40. Replaced all charging mosfets</t>
  </si>
  <si>
    <t>Loss solar fault</t>
  </si>
  <si>
    <t>Found Q446 faulty. Replaced Q446, Loss solar alarm now working, controller all OK</t>
  </si>
  <si>
    <t>C421 Shorted due to damaged trace touching ground. Removed damaged area, jump wired and cured damaged area with uv solder mask, all ok</t>
  </si>
  <si>
    <t>Found L200 which is part of charging circuit to be poorly soldered to the PCB. Resoldered inductor, controller now all OK and charging properly.</t>
  </si>
  <si>
    <t>Temp sensor line low resistance indicating faulty LT8490. Replaced LT8490 Charging IC, all ok.</t>
  </si>
  <si>
    <t>Not charging, no red or blue led when solar plugged in, replaced LT8490. All OK.</t>
  </si>
  <si>
    <t>LED fault</t>
  </si>
  <si>
    <t>Passing all tests on the test jig however power LED bright and displaying wrong colour (yellow coloured instead of white). Replaced Q3 which was open. all OK.</t>
  </si>
  <si>
    <t>LT8490 causing low TMP sense line, reading below 200 ohm, replaced LT8490</t>
  </si>
  <si>
    <t>AG22002A</t>
  </si>
  <si>
    <t>RGAWO Matrix (QFS)</t>
  </si>
  <si>
    <t>Half of green not working</t>
  </si>
  <si>
    <t>Half of green not working and one broken white led. Found RA3 network resistor faulty, at the top array found it open instead of 39R. Replaced RA3 and one white LED, all OK.</t>
  </si>
  <si>
    <t>Damage to pcb</t>
  </si>
  <si>
    <t>Not all colours working and LEDS not working. Found C3 missing and RA3 chipped from board, RA4 damaged and multiple LEDs of all colours chipped off board. Replaced damaged and missing parts. All OK</t>
  </si>
  <si>
    <t>Replaced damaged RA3, C3 and multiple leds, jumper wired broken track to 2 green leds, all OK</t>
  </si>
  <si>
    <t>Amber &amp; White all off</t>
  </si>
  <si>
    <t>Replaced RA1, reflowed RA2 and U7</t>
  </si>
  <si>
    <t>No colours at all</t>
  </si>
  <si>
    <t>Replaced U7, touched up u8, u12, u11, u13, u10. Replaced RA3, top network open, causing half of green off</t>
  </si>
  <si>
    <t>Half of board bright</t>
  </si>
  <si>
    <t>Replaced RA1, RA2, Reflow U7</t>
  </si>
  <si>
    <t xml:space="preserve">Power short </t>
  </si>
  <si>
    <t>C20 shorted, replaced C20. RA3 top network open, replaced RA3</t>
  </si>
  <si>
    <t>Modem light not working</t>
  </si>
  <si>
    <t>LD80 broken, replaced LD80</t>
  </si>
  <si>
    <t>Temp and humidity fault</t>
  </si>
  <si>
    <t>Reflowed temp/humidity IC</t>
  </si>
  <si>
    <t xml:space="preserve">Resoldered sim card socket pins </t>
  </si>
  <si>
    <t>No Power</t>
  </si>
  <si>
    <t>L505 Inductor missing from PCB</t>
  </si>
  <si>
    <t xml:space="preserve">Pin shorted to ground on sim card socket, resoldered SIM socket, all OK. </t>
  </si>
  <si>
    <t>TMP line 287ohm, LT8490 faulty. Replaced LT8490, All OK</t>
  </si>
  <si>
    <t>TMP line 178ohm, LT8490 faulty. Replaced LT8490, All OK</t>
  </si>
  <si>
    <t>TMP line 197ohm, LT8490 faulty. Replaced LT8490, All OK</t>
  </si>
  <si>
    <t>TMP line 133ohm, LT8490 faulty. Replaced LT8490, All OK</t>
  </si>
  <si>
    <t>When solar is plugged in, red and blue light to indicate no TMP/battery. When battery plugged in, Drawing 0.04 amp and no red or blue lights. Found Q201 faulty, replaced Q201, Charging all OK. Resoldered sim card slot. Modem all ok</t>
  </si>
  <si>
    <t>Solar current -10Amps in website</t>
  </si>
  <si>
    <t xml:space="preserve">R54, R55 out of spec, should be 10ohm, reading 150 ohms. Removed and checked R6 and D40, both operational and within correct range. Found U45 PAC chip causing 15 ohms across +VE (SOL) and -VE (SOL). Replaced U45, now reading 11.45Kohm accros +VE &amp; -VE (SOL). Charging operational and correct amperage displayed in website. </t>
  </si>
  <si>
    <t xml:space="preserve">No Ethernet, No Solar Charging </t>
  </si>
  <si>
    <t xml:space="preserve">Found D200 at 13Ohms close to a dead short, replaced D200. Replaced Q200, Q201 and LT8490. Charging all OK. Replaced ethernet port which was damaged by corrosion, ethernet all working now. Replaced modem chip as current one installed in pcb works but is slow. </t>
  </si>
  <si>
    <t>AG14012B</t>
  </si>
  <si>
    <t>Breakout Board</t>
  </si>
  <si>
    <t>Stops charging after 15mins</t>
  </si>
  <si>
    <t xml:space="preserve">Cleaned PCB, verified all resistor values are correct for the charging circuit. Left on test for 1 hour, found no issues, controller is charging OK. </t>
  </si>
  <si>
    <t>No HB, no charging and moderate corrosion</t>
  </si>
  <si>
    <t>Cleaned corrosion, found D81, R96, R95 corrodoed from board, repalced D81 and R95, R96 and resolered sd card slot. Charge circuit drawing 0.05 amp when plugged in. D200 70 ohms, repalced D200. Replaced LT8490. Charging all OK now.</t>
  </si>
  <si>
    <t>QFES Cnr bundeera Road, Ker Street Thargomindah (10.3.3.101 IP)</t>
  </si>
  <si>
    <t>CN3 has laquer in it</t>
  </si>
  <si>
    <t>Cleaned laquer from connector, tested all OK</t>
  </si>
  <si>
    <t>Needs to be tested</t>
  </si>
  <si>
    <t>LDW1_4 to LDW8_4 and LDW9_4 to LDW16_4 are very bright and only go brighter and not dimming. Replaced U4_4 Driver, Board all OK now.</t>
  </si>
  <si>
    <t>AG21018A</t>
  </si>
  <si>
    <t>P16 Panel (SAMS)</t>
  </si>
  <si>
    <t>Red leds not all working</t>
  </si>
  <si>
    <t xml:space="preserve">Only 48 Red Leds are turning on. Replaced U3_4 driver. All Red LEDS now working </t>
  </si>
  <si>
    <t>Tolga South Kentville- SAMS</t>
  </si>
  <si>
    <t>No fault found, tested all OK</t>
  </si>
  <si>
    <t>Suspect fault with red, to be tested</t>
  </si>
  <si>
    <t>RA3 top network open. Replaced RA3, tested all OK</t>
  </si>
  <si>
    <t>Bray Park - Site 17</t>
  </si>
  <si>
    <t>White leds not lit up</t>
  </si>
  <si>
    <t>Resoldered all the Drivers in line _7 and _8 which have dry solder joins, PCB all OK now</t>
  </si>
  <si>
    <t>AG16004A</t>
  </si>
  <si>
    <t>Translink LED</t>
  </si>
  <si>
    <t xml:space="preserve">Data not tranfering and parts of panel not displaying </t>
  </si>
  <si>
    <t>SS</t>
  </si>
  <si>
    <t>Cleaned pins on data in and data out. X2 LEDS broken earth, reconnected missing earth. All OK</t>
  </si>
  <si>
    <t>BCC</t>
  </si>
  <si>
    <t>Data fault, flickering</t>
  </si>
  <si>
    <t xml:space="preserve">U9 visusally  burnt, U9 power output shorted. Replaced U9, all OK now. </t>
  </si>
  <si>
    <t>Wodonga VMS?</t>
  </si>
  <si>
    <t>Charging fault</t>
  </si>
  <si>
    <t>Replaced LT8490, TMP line reading below 300 ohms. Charging all OK</t>
  </si>
  <si>
    <t xml:space="preserve">Corrosion sd card slot </t>
  </si>
  <si>
    <t>Cleaned sd card slot</t>
  </si>
  <si>
    <t>Resoldered sim card socket pins, blue modem LED broken, replaced LED. Modem had no indication light</t>
  </si>
  <si>
    <t>Leds displaying left left bottom vertical row</t>
  </si>
  <si>
    <t>Fixed one broken track and replaced 2 leds</t>
  </si>
  <si>
    <t>Broken connector</t>
  </si>
  <si>
    <t>Replaced connector and repaired broken tracks on connector</t>
  </si>
  <si>
    <t>Faulty connector</t>
  </si>
  <si>
    <t>1 pin dry solder join on connector, resoldered pin</t>
  </si>
  <si>
    <t>top 1/2 of panel not working</t>
  </si>
  <si>
    <t>Cleaned data connectors</t>
  </si>
  <si>
    <t>AX060217B3012</t>
  </si>
  <si>
    <t>Leds not displaying on left bottom and vertical row</t>
  </si>
  <si>
    <t>Replaced UR4 IC</t>
  </si>
  <si>
    <t>3V3 Shorted</t>
  </si>
  <si>
    <t>Lots of shorts around u245 and surrounding resistors and caps. SMT manafactuing issue too much solder in this area. Removed all the shorts, controller now OK.</t>
  </si>
  <si>
    <t>Blows fuse</t>
  </si>
  <si>
    <t xml:space="preserve">Replaced Q202 and Q203 - Q202 60 shorted. </t>
  </si>
  <si>
    <t xml:space="preserve">ethernet not working </t>
  </si>
  <si>
    <t>RA307 shorted - removed solder short</t>
  </si>
  <si>
    <t>Not charging - TMP line under 200 ohm</t>
  </si>
  <si>
    <t xml:space="preserve">replaced lt8490 </t>
  </si>
  <si>
    <t xml:space="preserve">Replaced Q200-Q203, Reflowed LT 8490 </t>
  </si>
  <si>
    <t>Replaced LT8490 D200, D201 all mosfets</t>
  </si>
  <si>
    <t xml:space="preserve">Modem not working </t>
  </si>
  <si>
    <t>Faulty modem chip, sim card supplied faulty - replaced modem chip and using different sim card - all ok</t>
  </si>
  <si>
    <t>R509 chipped away from board - replaced r509 - all ok</t>
  </si>
  <si>
    <t xml:space="preserve">Annulus and wig wag not working </t>
  </si>
  <si>
    <t xml:space="preserve">No fault found </t>
  </si>
  <si>
    <t>No power - tps65266 burnt</t>
  </si>
  <si>
    <t>Replaced TPS65266, R106 (High resistance should be OR) and L101 (broken and corroded) - Tested all OK</t>
  </si>
  <si>
    <t>Corrosion on sd socket</t>
  </si>
  <si>
    <t>cleaned corrosion on sd socket and resoldered sd socket. - Tested all OK</t>
  </si>
  <si>
    <t>AG18002C</t>
  </si>
  <si>
    <t xml:space="preserve">Solar faulty </t>
  </si>
  <si>
    <t>D200 shorted, replaced D200, Replaced LT8490, drawing 0.04amps with no battery connected. Tested all OK</t>
  </si>
  <si>
    <t>qld</t>
  </si>
  <si>
    <t xml:space="preserve">No fault label </t>
  </si>
  <si>
    <t>No Fault Found - Tested OK</t>
  </si>
  <si>
    <t>Faulty modem</t>
  </si>
  <si>
    <t xml:space="preserve">Replaced modem chip, modem all OK. Tested all OK apart from ethernet port </t>
  </si>
  <si>
    <t>AG18022G</t>
  </si>
  <si>
    <t>RA306, RA307 shorted from too much solder and c340 cap only soldered on one side. Fixed issues, tested all OK</t>
  </si>
  <si>
    <t xml:space="preserve">Solar not working </t>
  </si>
  <si>
    <t>Replaced LT8490 - all OK</t>
  </si>
  <si>
    <t>Key switch in normal not working</t>
  </si>
  <si>
    <t>RA309 shorted- removed short - tested all OK</t>
  </si>
  <si>
    <t xml:space="preserve">Reflowed U280 and put more solder paste onto pins </t>
  </si>
  <si>
    <t xml:space="preserve">Blows fuse </t>
  </si>
  <si>
    <t>ac</t>
  </si>
  <si>
    <t>Q203 Shorted</t>
  </si>
  <si>
    <t xml:space="preserve">SAMS sign on bench - charging harness wired wrong causing fault </t>
  </si>
  <si>
    <t>One white LED not working</t>
  </si>
  <si>
    <t xml:space="preserve">Replaced LED which had been knocked causing it to fail </t>
  </si>
  <si>
    <t>Blue power light only</t>
  </si>
  <si>
    <t>Blue light only, no power shorts. Tilt IC faulty causing power fault. Replaced Tilt IC, power all OK, Tilt all OK</t>
  </si>
  <si>
    <t xml:space="preserve">U525 needed to be resoldered. Power all OK now. </t>
  </si>
  <si>
    <t xml:space="preserve">FB245 not soldered on one side </t>
  </si>
  <si>
    <t>Solder blob short across Q201 mosfet pins, removed solder blob, all Ok</t>
  </si>
  <si>
    <t>Resoldered modem socket pins and removed solder bridge from detect pin to ground</t>
  </si>
  <si>
    <t>Sim card slot not holding sim</t>
  </si>
  <si>
    <t>Replaced sim card slot, all ok</t>
  </si>
  <si>
    <t>sd card slot not holding</t>
  </si>
  <si>
    <t>replaced sd card slot, all ok</t>
  </si>
  <si>
    <t>AG18024A</t>
  </si>
  <si>
    <t>cn5 put on wrong way</t>
  </si>
  <si>
    <t>Changed direction of CN5, all OK</t>
  </si>
  <si>
    <t>AG18024B</t>
  </si>
  <si>
    <t>JP3 bridge not soldered</t>
  </si>
  <si>
    <t xml:space="preserve">Soldered JP3 bridge, without this will not output 5V correctly </t>
  </si>
  <si>
    <t>Short across 2 data pins on U2</t>
  </si>
  <si>
    <t>Removed short, board all OK</t>
  </si>
  <si>
    <t>5V reading 5.4V, too high</t>
  </si>
  <si>
    <t>C15 Missing from U3 psu circuit</t>
  </si>
  <si>
    <t>no 5v output, low 2.2v</t>
  </si>
  <si>
    <t>Resoldered L1 and L2, all ok now</t>
  </si>
  <si>
    <t>Shorted u3 due to soldered wrong way</t>
  </si>
  <si>
    <t>Replaced U3, all OK</t>
  </si>
  <si>
    <t>No 5v output on VLED2</t>
  </si>
  <si>
    <t>U5 causing  90ohms on r11, replaced U5, All OK</t>
  </si>
  <si>
    <t>Replaced U5, all OK</t>
  </si>
  <si>
    <t xml:space="preserve">Replaced R11 which was out of spec, all OK </t>
  </si>
  <si>
    <t>AG19003B</t>
  </si>
  <si>
    <t>Type A Wig Wag</t>
  </si>
  <si>
    <t>LEDs out of alignment</t>
  </si>
  <si>
    <t>Fixed leds that are not in alignment, all ok</t>
  </si>
  <si>
    <t>Short on CN3 data pins</t>
  </si>
  <si>
    <t>CN1 , CN2 wrong way</t>
  </si>
  <si>
    <t xml:space="preserve">Fixed CN1, CN2, soldered correctiopn orientation </t>
  </si>
  <si>
    <t>AG18018C</t>
  </si>
  <si>
    <t>3 leds not working</t>
  </si>
  <si>
    <t xml:space="preserve">Replaced 3 LEDs </t>
  </si>
  <si>
    <t>AG19004B</t>
  </si>
  <si>
    <t>Type A Annulus</t>
  </si>
  <si>
    <t>One led broken</t>
  </si>
  <si>
    <t>Fixed broken LED, all OK</t>
  </si>
  <si>
    <t>Input and output connectors wrong way</t>
  </si>
  <si>
    <t xml:space="preserve">Resoldered the connectors the correct orientation </t>
  </si>
  <si>
    <t>AG20007B</t>
  </si>
  <si>
    <t>Type B Annulus</t>
  </si>
  <si>
    <t>3 Leds bright</t>
  </si>
  <si>
    <t xml:space="preserve">Resoldered 3 LEDs, extra bright LED which was due to a short to ground in the LED chain </t>
  </si>
  <si>
    <t>AG20004A</t>
  </si>
  <si>
    <t>P14 Modus</t>
  </si>
  <si>
    <t>Fixed one broken LED</t>
  </si>
  <si>
    <t>No display</t>
  </si>
  <si>
    <t>Resoldered input &amp; output connector, all ok</t>
  </si>
  <si>
    <t>AG20003</t>
  </si>
  <si>
    <t>P31.25 Modus</t>
  </si>
  <si>
    <t>One led not working</t>
  </si>
  <si>
    <t>Resoldered LED</t>
  </si>
  <si>
    <t>One led track broken</t>
  </si>
  <si>
    <t>Jump wired missing track in x4 LED chain</t>
  </si>
  <si>
    <t>AG22001B</t>
  </si>
  <si>
    <t>QFES Rating Display</t>
  </si>
  <si>
    <t xml:space="preserve">Leds not displaying </t>
  </si>
  <si>
    <t xml:space="preserve">Replaced u70 and resoldered dry joins on leds </t>
  </si>
  <si>
    <t>No display, VCC low</t>
  </si>
  <si>
    <t>u40 soldered the wrong way dragging VCC down to 0.8V. Resoldered correct way, all OK</t>
  </si>
  <si>
    <t>4 Amber leds missing</t>
  </si>
  <si>
    <t>Resoldered x4 Amber LEDS</t>
  </si>
  <si>
    <t>L301 corroded from pcb and missing. Replaced L301. Replaced modem socket which was damaged by corrosion, all OK</t>
  </si>
  <si>
    <t>Cleaned corrosion from sd card slot, resoldered sd card slot, all OK</t>
  </si>
  <si>
    <t>Battery current -12.5A in website</t>
  </si>
  <si>
    <t>Replaced R57</t>
  </si>
  <si>
    <t>Power output not working</t>
  </si>
  <si>
    <t xml:space="preserve">R319, C161 out of alignment, Reflowed u525. </t>
  </si>
  <si>
    <t>Bad corrosion</t>
  </si>
  <si>
    <t>Replaced U30, Q20, R30, C116, C115, C119, C120, Jump wired missing track for R30. Replaced battery and fuse through hole connectors</t>
  </si>
  <si>
    <t>Resoldered SD card slot and resistors surrounding. Replaced sim card slot, all OK</t>
  </si>
  <si>
    <t>L301 chipped off board and replaced Y301, all OK</t>
  </si>
  <si>
    <t>replaced sd card slot, as it was heavily corroded and not cleanable, all ok</t>
  </si>
  <si>
    <t>Wig wag error</t>
  </si>
  <si>
    <t>Right Wig wag connector soldered the wrong orientation, fixed orientation, tested all Ok</t>
  </si>
  <si>
    <t>Annulus error</t>
  </si>
  <si>
    <t>Annulus connector soldered wrong orientation, fixed orientation, tested all Ok</t>
  </si>
  <si>
    <t xml:space="preserve">No fault found, tested all OK on artcraft test sign at Axent Vic, original fault was most likely a  ribbon cable </t>
  </si>
  <si>
    <t xml:space="preserve">Found Annulus connector has some loose pins, cause is due to light corrosion. Cleaned corrosion, Resoldered annulus CN3 and CN2 connectors, tested all ok on artcraft test sign. </t>
  </si>
  <si>
    <t>AG19004A</t>
  </si>
  <si>
    <t xml:space="preserve">Replaced one LED which was faulty </t>
  </si>
  <si>
    <t>Driver failure</t>
  </si>
  <si>
    <t xml:space="preserve">No fault found, tested all OK. Fault is most likely ribbon cable related </t>
  </si>
  <si>
    <t>AG20001A</t>
  </si>
  <si>
    <t>Type B Wig Wag</t>
  </si>
  <si>
    <t>N/A</t>
  </si>
  <si>
    <t>Replaced data in and data out headers as they were missing clips</t>
  </si>
  <si>
    <t>No fault found tested all OK</t>
  </si>
  <si>
    <t>AG21029B</t>
  </si>
  <si>
    <t>Hdmi cutting in and out when pcb is touched</t>
  </si>
  <si>
    <t xml:space="preserve">Replaced mini HDMI connector, All ok and not cutting out any more </t>
  </si>
  <si>
    <t xml:space="preserve">Reflowed mini HDMI connector, All ok and not cutting out any more </t>
  </si>
  <si>
    <t>Key switch error</t>
  </si>
  <si>
    <t>0r resistor burned and open, replace 0R, tested all OK</t>
  </si>
  <si>
    <t>PCB failed after being laquered. Replaced mini HDMI connector, all OK</t>
  </si>
  <si>
    <t>Soldered jump wire from detect pin to resistor as original path not connecting from sd card slot, tested and all OK</t>
  </si>
  <si>
    <t xml:space="preserve">5V line shorted. Found multiple solder blobs on the top side of pcb causing the short. Removed solder blobs, PCB all OK. </t>
  </si>
  <si>
    <t>Power LED yellow</t>
  </si>
  <si>
    <t>R7 resistor damaged, replaced r7, all OK</t>
  </si>
  <si>
    <t>No loss solar alarm</t>
  </si>
  <si>
    <t>Capacitor responsible for loss solar alarm had a solder short across it, removed short, all OK</t>
  </si>
  <si>
    <t>LDR not working &amp; ethernet port to be soldered</t>
  </si>
  <si>
    <t>Resolderd LDR connector, Soldered ethernet port, all OK</t>
  </si>
  <si>
    <t>Charging status offline</t>
  </si>
  <si>
    <t>PCB charges ok when observing current draw and checking internal website but controller gives no information about the charging status. This information comes from the LT8490. Replaced LT8490, now working all OK</t>
  </si>
  <si>
    <t>Not charging, red light then blue light</t>
  </si>
  <si>
    <t>Replaced LT8490 which was causing a low resistance on the TMP line. Replaced D3 which was faulty causing red then blue light charging error</t>
  </si>
  <si>
    <t>Modem socket has damaged pins causing no modem to be detected. Replaced modem socket, tested all OK</t>
  </si>
  <si>
    <t>AG19003A</t>
  </si>
  <si>
    <t>Leds not working</t>
  </si>
  <si>
    <t>Replaced 2 broken amber leds</t>
  </si>
  <si>
    <t xml:space="preserve">no fault found </t>
  </si>
  <si>
    <t>Replaced 3 broken amber leds</t>
  </si>
  <si>
    <t>AG20007A</t>
  </si>
  <si>
    <t>Driver error</t>
  </si>
  <si>
    <t>Flashed OK, data in and data out OK, reports driver error in software. Replaced U2. All OK.</t>
  </si>
  <si>
    <t>Replaced  3 red LEDs</t>
  </si>
  <si>
    <t>Corrosion</t>
  </si>
  <si>
    <t>Cleaned corrosion, tested all OK</t>
  </si>
  <si>
    <t>Replaced 3 red LEDs, all OK</t>
  </si>
  <si>
    <t>Replaced 2 red LEDs</t>
  </si>
  <si>
    <t>Data in connector wrong way</t>
  </si>
  <si>
    <t>Fixed data in connector, RN1 broken, replaced RN1. Realigned LD38, tested all OK.</t>
  </si>
  <si>
    <t xml:space="preserve">Data out not working </t>
  </si>
  <si>
    <t>Fixed one broken trace which links from Data in to Data Out which was damaged on the pcb. Tested all Ok</t>
  </si>
  <si>
    <t>AG18019C</t>
  </si>
  <si>
    <t xml:space="preserve">Intermittently working when board is flexed </t>
  </si>
  <si>
    <t>Found Data in and Data out pins dry solder joins. Touched up all dry joins, PCB now all OK.</t>
  </si>
  <si>
    <t>No input or output</t>
  </si>
  <si>
    <t xml:space="preserve">6.8V VLED not working. Reflowed U50. Working all OK now. </t>
  </si>
  <si>
    <t>Resoldered C50 and C51 which were damaged / chipped from board, all OK</t>
  </si>
  <si>
    <t>Not working correctly</t>
  </si>
  <si>
    <t xml:space="preserve">JP1 and JP3 bridges have not been soldered. </t>
  </si>
  <si>
    <t>Data in wrong way</t>
  </si>
  <si>
    <t>Corrected orientation for Data in plug, tested all OK.</t>
  </si>
  <si>
    <t>JP1 and JP3 bridges have been poorly soldered, touched up pins, all ok.</t>
  </si>
  <si>
    <t>AG22003A</t>
  </si>
  <si>
    <t>QFES LED Strip</t>
  </si>
  <si>
    <t>No output</t>
  </si>
  <si>
    <t>Resoldered u40, output now working. Resoldered input and output pins, tested all OK</t>
  </si>
  <si>
    <t>Resoldered input and output pins, tested all OK</t>
  </si>
  <si>
    <t>U60 Driver had shorts across pins, removed shorted, pcb testing all OK</t>
  </si>
  <si>
    <t>One LED broken from PCB</t>
  </si>
  <si>
    <t>LD16 broken from pcb, all tracks ripped off, Recreated tracks with jumper wire and soldered LED to PCB. Tested all OK</t>
  </si>
  <si>
    <t>3 LEDS are bright</t>
  </si>
  <si>
    <t>Replaced LD37, LD38, LD39. Tested and working all OK.</t>
  </si>
  <si>
    <t>AG22001A</t>
  </si>
  <si>
    <t>2 LEDs not working</t>
  </si>
  <si>
    <t xml:space="preserve">Jump wired missing track between the LEDs. </t>
  </si>
  <si>
    <t>All leds are dim</t>
  </si>
  <si>
    <t xml:space="preserve">Found Vled was low, approx 5V. Replaced U50. Vled now 6.82V. All leds correct brightness and dimming correctly. </t>
  </si>
  <si>
    <t>LT8490 causing low TMP sense line, reading below 200 ohm, replaced LT8490. Charging all OK.</t>
  </si>
  <si>
    <t>Drawing 0.04 amp when solar charger plugged in, Replaced Q200-Q203 mosfets and LT8490. Now charging all OK</t>
  </si>
  <si>
    <t xml:space="preserve">Found small solder short on modem sim socket, removed short. PCB Tested all OK. </t>
  </si>
  <si>
    <t xml:space="preserve">Found some pins on modem socket have poor connection to PCB. Reflowed modem socket @ 300 degrees for 5 mins, all OK. </t>
  </si>
  <si>
    <t xml:space="preserve">Modem socket poorly soldered on the pcb. Removed socket and replaced with a new one. Board all ok now </t>
  </si>
  <si>
    <t>Inconsistent HB</t>
  </si>
  <si>
    <t xml:space="preserve">Found pcb would lose HB when board is flexed. Could never login to board, looking at debug port the pcb never actually boots up properly. Reflowed CPU. Controller now has no HB at all. Replaced CPU, controller now working all OK. </t>
  </si>
  <si>
    <t xml:space="preserve">Found some pins on modem socket have poor or no connection to PCB tracks. Reflowed modem socket @ 300 degrees for 5 mins, all OK. </t>
  </si>
  <si>
    <t>4G Upgrade kit returned to VIC</t>
  </si>
  <si>
    <t>When solar is plugged in, drawing 0.02 amps with no battery conencted. This indicates a faulty LT8490 or mosfets fault. Replaced LT8490, and D3 diode. Controller now charging all OK.</t>
  </si>
  <si>
    <t xml:space="preserve">Found pcb would sometimes boot up when holding pressure to both ram chips. Replaced both Ram chips. PCB now working all OK. </t>
  </si>
  <si>
    <t xml:space="preserve">Tested all OK, no fault found </t>
  </si>
  <si>
    <t>Battery current incorrect</t>
  </si>
  <si>
    <t>Battery current showing as 12.5 amps in software, PCB Charges OK. Replaced R56 R57. Tested all OK</t>
  </si>
  <si>
    <t>Wig wag not displaying, Key switch fault</t>
  </si>
  <si>
    <t xml:space="preserve">1. Damage to CN405 and CN410 which was caused when ribbon cables removed. Resoldered all pins and resistors, fixed two broken tracks with jump wire. 
2. Key switch in normal not working. Soldering on through hole for key switch are big blobs and possibily shorting out, Resoldered connecter, tested all OK. </t>
  </si>
  <si>
    <t>Sim card slot not holding sim, Inconsistent HB, Key switch not working</t>
  </si>
  <si>
    <t xml:space="preserve">1. Replaced sim card slot which was damaged by laquer. 
2. Controller has an inconsistent HB. Soldered debug port to board. Found PCB stuck on Romboot. Resoldered sd card slot and surrounding resistors.
3. Normal key switch mode not working, found solder shorts on through hole pins, removed shorts, tested all OK. </t>
  </si>
  <si>
    <t>Light corrosion</t>
  </si>
  <si>
    <t>Cleaned light corrosion on PCB. Resoldered Q20, R30 which has tarnished pins. Replaced modem chip as original HL7650 was inconsitent. Tested all OK</t>
  </si>
  <si>
    <t>Wig wag not displaying</t>
  </si>
  <si>
    <t>1. Damage to CN405 and CN410 which was caused when ribbon cables removed. Resoldered all pins and resistors, replaced one broken resistor.</t>
  </si>
  <si>
    <t>Replaced modem socket which was not connecting to PCB properly. Determined fault is most likely caused by a defective modem socket from supplier as 3 pins on modem socket appear higher after removal from PCB.  Tested all OK</t>
  </si>
  <si>
    <t xml:space="preserve">Brand new modem chip RC7620 blown up for no reason. Replaced modem chip with another brand new RC7620. Modem now working all OK. </t>
  </si>
  <si>
    <t>Right wig wag connector missing</t>
  </si>
  <si>
    <t>Soldered Right wig wag connector, tested all OK</t>
  </si>
  <si>
    <t>S1 broken and track damage. Replaced S1 and fixed broken tracks</t>
  </si>
  <si>
    <t>2 pins on Data in for Annulus not soldered, tested all OK</t>
  </si>
  <si>
    <t>U3 faulty, VLED output high, approx 7V. Replaced U3. now measuring 5V</t>
  </si>
  <si>
    <t>Faulty LT8490. Replaced LT8490, charging all OK</t>
  </si>
  <si>
    <t xml:space="preserve">Solar was wired backwards which caused issues on the charging circuit. </t>
  </si>
  <si>
    <t>AG23002A</t>
  </si>
  <si>
    <t>Modem</t>
  </si>
  <si>
    <t>Replaced CN1 which was damaged, tested all OK.</t>
  </si>
  <si>
    <t>PCB from stock, did not work. Faulty due to physical damage/poor PCB handling.</t>
  </si>
  <si>
    <t>AG18013A</t>
  </si>
  <si>
    <t>Stuck on TTL=252</t>
  </si>
  <si>
    <t>Replaced u50, tested all OK</t>
  </si>
  <si>
    <t>QLD faulty sent back to VIC for repair</t>
  </si>
  <si>
    <t>No comms</t>
  </si>
  <si>
    <t>Cleaned corrosion surrounding QA1. Resoldered area of corrosion, tested all OK</t>
  </si>
  <si>
    <t>No blue LED, green power LED working</t>
  </si>
  <si>
    <t>Found R34 out of spec, replaced R34, Tested all OK.</t>
  </si>
  <si>
    <t>LD1 broken</t>
  </si>
  <si>
    <t>Replaced LD1 which was broken, modem tested all OK.</t>
  </si>
  <si>
    <t>Sim card slot not holding</t>
  </si>
  <si>
    <t>Replaced sim card slot, tested all OK.</t>
  </si>
  <si>
    <t>No 5V output on both VLEDS</t>
  </si>
  <si>
    <t xml:space="preserve">Found Q1 and D4 missing, soldered missing components, PCB tested all OK. </t>
  </si>
  <si>
    <t>Assigned to service for repair</t>
  </si>
  <si>
    <t>4.8V on VLED2</t>
  </si>
  <si>
    <t>Replaced R11, tested all OK.</t>
  </si>
  <si>
    <t>No display, everything off</t>
  </si>
  <si>
    <t>L50 Inductor missing, which will stop the PSU output from working. Soldered L50, PCB Tested all OK</t>
  </si>
  <si>
    <t>Amber out intermittent</t>
  </si>
  <si>
    <t xml:space="preserve">Resoldered Data In connector, tested all OK. </t>
  </si>
  <si>
    <t>One Green LED Shorted/Very Bright</t>
  </si>
  <si>
    <t xml:space="preserve">Damage to track of one green LED which is shorting to ground. Cut track and ran jumper wire. Tested all OK. </t>
  </si>
  <si>
    <t>TTL=251 not connecting</t>
  </si>
  <si>
    <t>U30 ic needed to be resoldered as some pins were still gold, tested all OK.</t>
  </si>
  <si>
    <t>Resoldered sim card socket pins, tested all OK.</t>
  </si>
  <si>
    <t>CN4 snapped off and broken antenna track</t>
  </si>
  <si>
    <t xml:space="preserve">Soldered new CN4 and ran jump wire for broken track, tested all OK. </t>
  </si>
  <si>
    <t>To be used as a test jig board due to antenna jump wire</t>
  </si>
  <si>
    <t>Replaced the CPU which had an internal fault as all tracks measured OK for normal mode, tested all OK after CPU replacement</t>
  </si>
  <si>
    <t>No Comms</t>
  </si>
  <si>
    <t>No Modem chip in controller. No idea why modem chip is missing/been removed.Tested with a new modem chip, Tested all OK.</t>
  </si>
  <si>
    <t>Modem socket physically damaged, has a crack in it. Requires further investigation to see if any tracks have been damaged once socket is removed for inspection. Replaced modem socket, Tested all OK.</t>
  </si>
  <si>
    <t>Resoldered sim card slot pins and re-seated modem chip, Tested all OK.</t>
  </si>
  <si>
    <t>LDR not working</t>
  </si>
  <si>
    <t xml:space="preserve">LDR in the 4G upgrade kit is faulty, nothing to do with the controller which has tested all OK. </t>
  </si>
  <si>
    <t>AG14012C</t>
  </si>
  <si>
    <t>Replaced LT8490</t>
  </si>
  <si>
    <t>Still in progress</t>
  </si>
  <si>
    <t>Replaced Q3 and Q5 mosfets</t>
  </si>
  <si>
    <t>Cleaned the corrosion from PCB</t>
  </si>
  <si>
    <t>AG13008B</t>
  </si>
  <si>
    <t>Replaced both caps for power that were shorted, tested all OK</t>
  </si>
  <si>
    <t>Added to VIC Service PIDS spare parts tub</t>
  </si>
  <si>
    <t xml:space="preserve">Cleaned PCB, tested all OK, no fault found </t>
  </si>
  <si>
    <t>AG13008C</t>
  </si>
  <si>
    <t>VIC</t>
  </si>
  <si>
    <t>Replaced broken USB ports, tested all OK.</t>
  </si>
  <si>
    <t>Missing capacitor and inductor due to physical damage</t>
  </si>
  <si>
    <t>Replaced broken components, Tested all OK</t>
  </si>
  <si>
    <t>Power Fault</t>
  </si>
  <si>
    <t>All power rails shorted, PCB defective</t>
  </si>
  <si>
    <t>3V3 rail and 1V35 rail shorted 0 ohms, defective PCB</t>
  </si>
  <si>
    <t>All power rails shorted , due to a defective PCB</t>
  </si>
  <si>
    <t>Charging TMP line tracks measuring 15 kOhm even with everything relating to TMP line removed from PCB. Something on this PCB is going to the wrong place internally. This PCB also has inconsistent heart beat. Not repairable, defective PCB</t>
  </si>
  <si>
    <t>Blows fuse, 12 volt output circuit shorted even with everything relating to this circuit removed from the board, cause is due to defective PCB tracks</t>
  </si>
  <si>
    <t xml:space="preserve">Invalid battery temperature. Write Off. Verified with PF that this PCB has a defective internal track causing a low resistance on the TMP line, this is the second controller so far which has had this issue. </t>
  </si>
  <si>
    <t xml:space="preserve">U525 appears to be burnt out upon visual inspecition. Replaced U525. U505 faulty, drawing 0.4amp on standby, replaced R512 which has gone out of spec (high resistance). Power fault has now been resolved. PCB LT8491 not charging anymore, modem not working? More issues </t>
  </si>
  <si>
    <t>AG14003A</t>
  </si>
  <si>
    <t xml:space="preserve">All voltages are OK, unable to program to the PCB, therefore there is an issue with the CPU, reflowed CPU, still unable to program to board. WRITE OFF </t>
  </si>
  <si>
    <t xml:space="preserve">Q3, Q5,Q6 Shorted and pcb burned in that area. WRITE OFF, PCB tracks burned and unfixable </t>
  </si>
  <si>
    <t>Red leds fault</t>
  </si>
  <si>
    <t xml:space="preserve">When white is activated, white and orange turn on for the output board. When orange is on, not working at all for the output. Upon closer inspection found dry solder joins on CN1 and CN2. Resoldered all pins on connector, board all OK now. </t>
  </si>
  <si>
    <t>Bray Park - Site 16</t>
  </si>
  <si>
    <t>Driver failure, cn3 and cn4 laquer</t>
  </si>
  <si>
    <t xml:space="preserve">V_White Power low, 0.2v. Power reg is corroded. R86 needs to be resolderd. Changed power reg. Power all OK now. Resolderd CN1 and CN2, dry solder joins from corrosion, Display all OK. (Failed testing after laquer, display fault, lots of copper pads) </t>
  </si>
  <si>
    <t>Bray Park Site 16</t>
  </si>
  <si>
    <t>resoldered U10 and U485 tarnished pins from corrosion, replaced PAC1934. Power fault fixed. Controller shows negative battery current, due to faulty tracks for the pac1934 IC. WRITE OFF</t>
  </si>
  <si>
    <t>AG14002A</t>
  </si>
  <si>
    <t>No HB but programs fine</t>
  </si>
  <si>
    <t>Reflowed CPU which brought back the HB. Controller now can login, found one ethernet port faulty and the temp ic reading 125 degrees. The ethernet fault may be under the CPU…</t>
  </si>
  <si>
    <t>No heart beat</t>
  </si>
  <si>
    <t xml:space="preserve">faulty processor or ram - no debug info from comm port - most likely CPU </t>
  </si>
  <si>
    <t xml:space="preserve">Write Off - PCB starts to bubble/popcorn when heated, unable to replace any components. PCB tracks most likely comprimised. </t>
  </si>
  <si>
    <t>Write Off - All the solder on LEDs are dry, over 30 LEDs are not working. Will take a long time to repair as every single LED theoratically needs replacement</t>
  </si>
  <si>
    <t>Write Off - PCB charcoal and burnt on Power In</t>
  </si>
  <si>
    <t>Write off - PCB tracks damaged, PCB starts to bubble/popcorn when heated</t>
  </si>
  <si>
    <t>Replaced CPU and both RAMS, still no debug info, fault is in the PCB -WRITE OFF</t>
  </si>
  <si>
    <t>Data errors</t>
  </si>
  <si>
    <t>Resoldred both drivers still gives errors on annulus and wig wag, not too sure at the moment</t>
  </si>
  <si>
    <t>Replaced both caps for power that were shorted, still no HB - Write Off</t>
  </si>
  <si>
    <t>No HB- unable to find why - most likely ram or proccessor fault - write off</t>
  </si>
  <si>
    <t>Burnt power rails - write off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</si>
</sst>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2"/>
      <color theme="1"/>
      <name val="Aptos Narrow"/>
      <family val="2"/>
      <scheme val="minor"/>
    </font>
    <font>
      <sz val="12"/>
      <color rgb="FF0D0D0D"/>
      <name val="Aptos Narrow"/>
      <family val="2"/>
      <scheme val="minor"/>
    </font>
    <font>
      <b/>
      <sz val="12"/>
      <color theme="0"/>
      <name val="Aptos Narrow"/>
      <family val="2"/>
      <scheme val="minor"/>
    </font>
    <font>
      <sz val="8"/>
      <name val="Aptos Narrow"/>
      <family val="2"/>
      <scheme val="minor"/>
    </font>
    <font>
      <sz val="12"/>
      <color rgb="FF000000"/>
      <name val="Aptos Narrow"/>
      <family val="2"/>
      <scheme val="minor"/>
    </font>
  </fonts>
  <fills count="6">
    <fill>
      <patternFill patternType="none"/>
    </fill>
    <fill>
      <patternFill patternType="gray125"/>
    </fill>
    <fill>
      <patternFill patternType="solid">
        <fgColor rgb="FFFF0000"/>
        <bgColor indexed="64"/>
      </patternFill>
    </fill>
    <fill>
      <patternFill patternType="solid">
        <fgColor theme="1" tint="4.9989318521683403E-2"/>
        <bgColor indexed="64"/>
      </patternFill>
    </fill>
    <fill>
      <patternFill patternType="solid">
        <fgColor rgb="FF00B050"/>
        <bgColor indexed="64"/>
      </patternFill>
    </fill>
    <fill>
      <patternFill patternType="solid">
        <fgColor rgb="FFFFC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55">
    <xf numFmtId="0" fontId="0" fillId="0" borderId="0" xfId="0"/>
    <xf numFmtId="0" fontId="3" fillId="4" borderId="2" xfId="0" applyFont="1" applyFill="1" applyBorder="1" applyAlignment="1">
      <alignment horizontal="center" vertical="top" wrapText="1"/>
    </xf>
    <xf numFmtId="0" fontId="3" fillId="5" borderId="0" xfId="0" applyFont="1" applyFill="1"/>
    <xf numFmtId="0" fontId="3" fillId="2" borderId="0" xfId="0" applyFont="1" applyFill="1"/>
    <xf numFmtId="0" fontId="3" fillId="4" borderId="2" xfId="0" applyFont="1" applyFill="1" applyBorder="1" applyAlignment="1">
      <alignment horizontal="left" vertical="top" wrapText="1"/>
    </xf>
    <xf numFmtId="0" fontId="3" fillId="5" borderId="0" xfId="0" applyFont="1" applyFill="1" applyAlignment="1">
      <alignment horizontal="left" wrapText="1"/>
    </xf>
    <xf numFmtId="0" fontId="3" fillId="2" borderId="0" xfId="0" applyFont="1" applyFill="1" applyAlignment="1">
      <alignment horizontal="left" wrapText="1"/>
    </xf>
    <xf numFmtId="0" fontId="3" fillId="3" borderId="3" xfId="0" applyFont="1" applyFill="1" applyBorder="1" applyAlignment="1">
      <alignment horizontal="left" vertical="top" wrapText="1"/>
    </xf>
    <xf numFmtId="0" fontId="3" fillId="3" borderId="1" xfId="0" applyFont="1" applyFill="1" applyBorder="1" applyAlignment="1">
      <alignment horizontal="left" vertical="top" wrapText="1"/>
    </xf>
    <xf numFmtId="0" fontId="1" fillId="2" borderId="1" xfId="0" applyFont="1" applyFill="1" applyBorder="1" applyAlignment="1">
      <alignment horizontal="left" vertical="top" wrapText="1"/>
    </xf>
    <xf numFmtId="0" fontId="0" fillId="2" borderId="1" xfId="0" applyFill="1" applyBorder="1" applyAlignment="1">
      <alignment horizontal="left" vertical="top" wrapText="1"/>
    </xf>
    <xf numFmtId="14" fontId="1" fillId="2" borderId="1" xfId="0" applyNumberFormat="1" applyFont="1" applyFill="1" applyBorder="1" applyAlignment="1">
      <alignment horizontal="left" vertical="top" wrapText="1"/>
    </xf>
    <xf numFmtId="0" fontId="1" fillId="5" borderId="1" xfId="0" applyFont="1" applyFill="1" applyBorder="1" applyAlignment="1">
      <alignment horizontal="left" vertical="top" wrapText="1"/>
    </xf>
    <xf numFmtId="0" fontId="0" fillId="5" borderId="1" xfId="0" applyFill="1" applyBorder="1" applyAlignment="1">
      <alignment horizontal="left" vertical="top" wrapText="1"/>
    </xf>
    <xf numFmtId="14" fontId="1" fillId="5" borderId="1" xfId="0" applyNumberFormat="1" applyFont="1" applyFill="1" applyBorder="1" applyAlignment="1">
      <alignment horizontal="left" vertical="top" wrapText="1"/>
    </xf>
    <xf numFmtId="14" fontId="0" fillId="5" borderId="1" xfId="0" applyNumberFormat="1" applyFill="1" applyBorder="1" applyAlignment="1">
      <alignment horizontal="left" vertical="top" wrapText="1"/>
    </xf>
    <xf numFmtId="14" fontId="0" fillId="2" borderId="1" xfId="0" applyNumberFormat="1" applyFill="1" applyBorder="1" applyAlignment="1">
      <alignment horizontal="left" vertical="top" wrapText="1"/>
    </xf>
    <xf numFmtId="0" fontId="3" fillId="2" borderId="1" xfId="0" applyFont="1" applyFill="1" applyBorder="1" applyAlignment="1">
      <alignment horizontal="left" vertical="top" wrapText="1"/>
    </xf>
    <xf numFmtId="0" fontId="0" fillId="2" borderId="1" xfId="0" applyFill="1" applyBorder="1" applyAlignment="1">
      <alignment horizontal="left"/>
    </xf>
    <xf numFmtId="14" fontId="0" fillId="2" borderId="1" xfId="0" applyNumberFormat="1" applyFill="1" applyBorder="1" applyAlignment="1">
      <alignment horizontal="left"/>
    </xf>
    <xf numFmtId="0" fontId="0" fillId="5" borderId="1" xfId="0" applyFill="1" applyBorder="1"/>
    <xf numFmtId="14" fontId="0" fillId="5" borderId="1" xfId="0" applyNumberFormat="1" applyFill="1" applyBorder="1" applyAlignment="1">
      <alignment horizontal="left"/>
    </xf>
    <xf numFmtId="0" fontId="0" fillId="2" borderId="1" xfId="0" applyFill="1" applyBorder="1"/>
    <xf numFmtId="0" fontId="0" fillId="2" borderId="1" xfId="0" applyFill="1" applyBorder="1" applyAlignment="1">
      <alignment horizontal="left" wrapText="1"/>
    </xf>
    <xf numFmtId="14" fontId="0" fillId="2" borderId="1" xfId="0" applyNumberFormat="1" applyFill="1" applyBorder="1"/>
    <xf numFmtId="14" fontId="0" fillId="0" borderId="0" xfId="0" applyNumberFormat="1"/>
    <xf numFmtId="0" fontId="0" fillId="2" borderId="0" xfId="0" applyFill="1"/>
    <xf numFmtId="0" fontId="0" fillId="2" borderId="6" xfId="0" applyFill="1" applyBorder="1"/>
    <xf numFmtId="0" fontId="0" fillId="2" borderId="6" xfId="0" applyFill="1" applyBorder="1" applyAlignment="1">
      <alignment horizontal="left" wrapText="1"/>
    </xf>
    <xf numFmtId="0" fontId="3" fillId="0" borderId="0" xfId="0" applyFont="1" applyAlignment="1">
      <alignment horizontal="left" wrapText="1"/>
    </xf>
    <xf numFmtId="0" fontId="3" fillId="0" borderId="0" xfId="0" applyFont="1"/>
    <xf numFmtId="0" fontId="3" fillId="4" borderId="1" xfId="0" applyFont="1" applyFill="1" applyBorder="1" applyAlignment="1">
      <alignment horizontal="left" vertical="top" wrapText="1"/>
    </xf>
    <xf numFmtId="0" fontId="3" fillId="4" borderId="1" xfId="0" applyFont="1" applyFill="1" applyBorder="1" applyAlignment="1">
      <alignment horizontal="center" vertical="top" wrapText="1"/>
    </xf>
    <xf numFmtId="0" fontId="3" fillId="5" borderId="1" xfId="0" applyFont="1" applyFill="1" applyBorder="1" applyAlignment="1">
      <alignment horizontal="left" wrapText="1"/>
    </xf>
    <xf numFmtId="0" fontId="3" fillId="5" borderId="1" xfId="0" applyFont="1" applyFill="1" applyBorder="1"/>
    <xf numFmtId="0" fontId="3" fillId="2" borderId="1" xfId="0" applyFont="1" applyFill="1" applyBorder="1" applyAlignment="1">
      <alignment horizontal="left" wrapText="1"/>
    </xf>
    <xf numFmtId="0" fontId="3" fillId="2" borderId="1" xfId="0" applyFont="1" applyFill="1" applyBorder="1"/>
    <xf numFmtId="0" fontId="3" fillId="3" borderId="1" xfId="0" applyFont="1" applyFill="1" applyBorder="1" applyAlignment="1">
      <alignment horizontal="left" vertical="center" wrapText="1"/>
    </xf>
    <xf numFmtId="0" fontId="3" fillId="3" borderId="3" xfId="0" applyFont="1" applyFill="1" applyBorder="1" applyAlignment="1">
      <alignment horizontal="left" vertical="center" wrapText="1"/>
    </xf>
    <xf numFmtId="0" fontId="1" fillId="4"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14" fontId="1" fillId="4" borderId="1" xfId="0" applyNumberFormat="1" applyFont="1" applyFill="1" applyBorder="1" applyAlignment="1">
      <alignment horizontal="left" vertical="center" wrapText="1"/>
    </xf>
    <xf numFmtId="0" fontId="1" fillId="4" borderId="1" xfId="0" applyFont="1" applyFill="1" applyBorder="1" applyAlignment="1">
      <alignment vertical="center" wrapText="1"/>
    </xf>
    <xf numFmtId="0" fontId="5" fillId="4" borderId="1" xfId="0" applyFont="1" applyFill="1" applyBorder="1" applyAlignment="1">
      <alignment horizontal="left" vertical="center" wrapText="1"/>
    </xf>
    <xf numFmtId="14" fontId="0" fillId="4" borderId="1" xfId="0" applyNumberFormat="1" applyFill="1" applyBorder="1" applyAlignment="1">
      <alignment vertical="center" wrapText="1"/>
    </xf>
    <xf numFmtId="0" fontId="0" fillId="4" borderId="1" xfId="0" applyFill="1" applyBorder="1" applyAlignment="1">
      <alignment vertical="center" wrapText="1"/>
    </xf>
    <xf numFmtId="0" fontId="0" fillId="4" borderId="1" xfId="0" applyFill="1" applyBorder="1" applyAlignment="1">
      <alignment horizontal="left" vertical="center" wrapText="1"/>
    </xf>
    <xf numFmtId="14" fontId="0" fillId="4" borderId="1" xfId="0" applyNumberFormat="1" applyFill="1" applyBorder="1" applyAlignment="1">
      <alignment horizontal="left" vertical="center" wrapText="1"/>
    </xf>
    <xf numFmtId="0" fontId="0" fillId="5" borderId="1" xfId="0" applyFill="1" applyBorder="1" applyAlignment="1">
      <alignment vertical="center" wrapText="1"/>
    </xf>
    <xf numFmtId="0" fontId="0" fillId="5" borderId="1" xfId="0" applyFill="1" applyBorder="1" applyAlignment="1">
      <alignment horizontal="left" vertical="center" wrapText="1"/>
    </xf>
    <xf numFmtId="14" fontId="0" fillId="5" borderId="1" xfId="0" applyNumberFormat="1" applyFill="1" applyBorder="1" applyAlignment="1">
      <alignment vertical="center" wrapText="1"/>
    </xf>
    <xf numFmtId="0" fontId="0" fillId="5" borderId="4" xfId="0" applyFill="1" applyBorder="1" applyAlignment="1">
      <alignment vertical="center" wrapText="1"/>
    </xf>
    <xf numFmtId="0" fontId="0" fillId="5" borderId="4" xfId="0" applyFill="1" applyBorder="1" applyAlignment="1">
      <alignment horizontal="left" vertical="center" wrapText="1"/>
    </xf>
    <xf numFmtId="14" fontId="0" fillId="5" borderId="4" xfId="0" applyNumberFormat="1" applyFill="1" applyBorder="1" applyAlignment="1">
      <alignment vertical="center" wrapText="1"/>
    </xf>
    <xf numFmtId="0" fontId="0" fillId="4" borderId="5"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01B91-169A-4C4F-AF4E-89117CFA7472}">
  <dimension ref="A1:M315"/>
  <sheetViews>
    <sheetView tabSelected="1" zoomScaleNormal="100" workbookViewId="0">
      <selection activeCell="I189" sqref="I189"/>
    </sheetView>
  </sheetViews>
  <sheetFormatPr defaultRowHeight="15" x14ac:dyDescent="0.25"/>
  <cols>
    <col min="1" max="3" width="14.28515625" customWidth="1"/>
    <col min="4" max="4" width="9.85546875" customWidth="1"/>
    <col min="5" max="5" width="17.85546875" customWidth="1"/>
    <col min="6" max="6" width="24.42578125" customWidth="1"/>
    <col min="7" max="7" width="9.7109375" customWidth="1"/>
    <col min="8" max="8" width="16.42578125" customWidth="1"/>
    <col min="9" max="9" width="89.28515625" customWidth="1"/>
    <col min="10" max="10" width="28.42578125" customWidth="1"/>
    <col min="13" max="13" width="15" customWidth="1"/>
  </cols>
  <sheetData>
    <row r="1" spans="1:13" ht="31.5" x14ac:dyDescent="0.25">
      <c r="A1" s="37" t="s">
        <v>0</v>
      </c>
      <c r="B1" s="37" t="s">
        <v>1</v>
      </c>
      <c r="C1" s="37" t="s">
        <v>2</v>
      </c>
      <c r="D1" s="37" t="s">
        <v>3</v>
      </c>
      <c r="E1" s="37" t="s">
        <v>4</v>
      </c>
      <c r="F1" s="37" t="s">
        <v>5</v>
      </c>
      <c r="G1" s="37" t="s">
        <v>6</v>
      </c>
      <c r="H1" s="37" t="s">
        <v>7</v>
      </c>
      <c r="I1" s="37" t="s">
        <v>8</v>
      </c>
      <c r="J1" s="38" t="s">
        <v>9</v>
      </c>
      <c r="L1" s="4" t="s">
        <v>10</v>
      </c>
      <c r="M1" s="1" t="s">
        <v>11</v>
      </c>
    </row>
    <row r="2" spans="1:13" ht="15.75" x14ac:dyDescent="0.25">
      <c r="A2" s="39">
        <v>23051541</v>
      </c>
      <c r="B2" s="39" t="s">
        <v>12</v>
      </c>
      <c r="C2" s="39" t="s">
        <v>13</v>
      </c>
      <c r="D2" s="39">
        <f t="shared" ref="D2:D65" si="0">COUNTIF(A:A,A2)</f>
        <v>1</v>
      </c>
      <c r="E2" s="39" t="s">
        <v>14</v>
      </c>
      <c r="F2" s="39" t="s">
        <v>15</v>
      </c>
      <c r="G2" s="39" t="s">
        <v>16</v>
      </c>
      <c r="H2" s="39">
        <v>2024</v>
      </c>
      <c r="I2" s="39" t="s">
        <v>17</v>
      </c>
      <c r="J2" s="39"/>
      <c r="L2" s="5" t="s">
        <v>18</v>
      </c>
      <c r="M2" s="2" t="s">
        <v>19</v>
      </c>
    </row>
    <row r="3" spans="1:13" ht="15.75" x14ac:dyDescent="0.25">
      <c r="A3" s="39">
        <v>21011006</v>
      </c>
      <c r="B3" s="39" t="s">
        <v>20</v>
      </c>
      <c r="C3" s="39" t="s">
        <v>13</v>
      </c>
      <c r="D3" s="39">
        <f t="shared" si="0"/>
        <v>2</v>
      </c>
      <c r="E3" s="39" t="s">
        <v>14</v>
      </c>
      <c r="F3" s="39" t="s">
        <v>21</v>
      </c>
      <c r="G3" s="39" t="s">
        <v>16</v>
      </c>
      <c r="H3" s="39">
        <v>2024</v>
      </c>
      <c r="I3" s="39" t="s">
        <v>22</v>
      </c>
      <c r="J3" s="39"/>
      <c r="L3" s="6" t="s">
        <v>23</v>
      </c>
      <c r="M3" s="3" t="s">
        <v>24</v>
      </c>
    </row>
    <row r="4" spans="1:13" ht="15.75" x14ac:dyDescent="0.25">
      <c r="A4" s="39">
        <v>21040074</v>
      </c>
      <c r="B4" s="39" t="s">
        <v>20</v>
      </c>
      <c r="C4" s="39" t="s">
        <v>13</v>
      </c>
      <c r="D4" s="39">
        <f t="shared" si="0"/>
        <v>1</v>
      </c>
      <c r="E4" s="39" t="s">
        <v>14</v>
      </c>
      <c r="F4" s="39" t="s">
        <v>21</v>
      </c>
      <c r="G4" s="39" t="s">
        <v>16</v>
      </c>
      <c r="H4" s="39">
        <v>2024</v>
      </c>
      <c r="I4" s="39" t="s">
        <v>25</v>
      </c>
      <c r="J4" s="39"/>
    </row>
    <row r="5" spans="1:13" ht="15.75" x14ac:dyDescent="0.25">
      <c r="A5" s="39">
        <v>23085071</v>
      </c>
      <c r="B5" s="39" t="s">
        <v>26</v>
      </c>
      <c r="C5" s="39" t="s">
        <v>13</v>
      </c>
      <c r="D5" s="39">
        <f t="shared" si="0"/>
        <v>1</v>
      </c>
      <c r="E5" s="39" t="s">
        <v>14</v>
      </c>
      <c r="F5" s="39" t="s">
        <v>27</v>
      </c>
      <c r="G5" s="39" t="s">
        <v>16</v>
      </c>
      <c r="H5" s="39">
        <v>2024</v>
      </c>
      <c r="I5" s="39" t="s">
        <v>28</v>
      </c>
      <c r="J5" s="39"/>
    </row>
    <row r="6" spans="1:13" ht="31.5" x14ac:dyDescent="0.25">
      <c r="A6" s="39">
        <v>22079006</v>
      </c>
      <c r="B6" s="39" t="s">
        <v>12</v>
      </c>
      <c r="C6" s="39" t="s">
        <v>13</v>
      </c>
      <c r="D6" s="39">
        <f t="shared" si="0"/>
        <v>1</v>
      </c>
      <c r="E6" s="39" t="s">
        <v>14</v>
      </c>
      <c r="F6" s="39" t="s">
        <v>29</v>
      </c>
      <c r="G6" s="39" t="s">
        <v>16</v>
      </c>
      <c r="H6" s="39">
        <v>2024</v>
      </c>
      <c r="I6" s="40" t="s">
        <v>30</v>
      </c>
      <c r="J6" s="39"/>
    </row>
    <row r="7" spans="1:13" ht="47.25" x14ac:dyDescent="0.25">
      <c r="A7" s="39">
        <v>22095271</v>
      </c>
      <c r="B7" s="39" t="s">
        <v>12</v>
      </c>
      <c r="C7" s="39" t="s">
        <v>13</v>
      </c>
      <c r="D7" s="39">
        <f t="shared" si="0"/>
        <v>1</v>
      </c>
      <c r="E7" s="39" t="s">
        <v>14</v>
      </c>
      <c r="F7" s="39" t="s">
        <v>29</v>
      </c>
      <c r="G7" s="39" t="s">
        <v>16</v>
      </c>
      <c r="H7" s="39">
        <v>2024</v>
      </c>
      <c r="I7" s="40" t="s">
        <v>31</v>
      </c>
      <c r="J7" s="39"/>
    </row>
    <row r="8" spans="1:13" ht="31.5" x14ac:dyDescent="0.25">
      <c r="A8" s="40">
        <v>21020450</v>
      </c>
      <c r="B8" s="39" t="s">
        <v>12</v>
      </c>
      <c r="C8" s="39" t="s">
        <v>13</v>
      </c>
      <c r="D8" s="39">
        <f t="shared" si="0"/>
        <v>1</v>
      </c>
      <c r="E8" s="39" t="s">
        <v>14</v>
      </c>
      <c r="F8" s="39" t="s">
        <v>29</v>
      </c>
      <c r="G8" s="39" t="s">
        <v>16</v>
      </c>
      <c r="H8" s="39">
        <v>2024</v>
      </c>
      <c r="I8" s="40" t="s">
        <v>32</v>
      </c>
      <c r="J8" s="39"/>
    </row>
    <row r="9" spans="1:13" ht="47.25" x14ac:dyDescent="0.25">
      <c r="A9" s="40">
        <v>22095288</v>
      </c>
      <c r="B9" s="39" t="s">
        <v>12</v>
      </c>
      <c r="C9" s="39" t="s">
        <v>13</v>
      </c>
      <c r="D9" s="39">
        <f t="shared" si="0"/>
        <v>1</v>
      </c>
      <c r="E9" s="39" t="s">
        <v>14</v>
      </c>
      <c r="F9" s="39" t="s">
        <v>33</v>
      </c>
      <c r="G9" s="39" t="s">
        <v>16</v>
      </c>
      <c r="H9" s="39">
        <v>2024</v>
      </c>
      <c r="I9" s="40" t="s">
        <v>34</v>
      </c>
      <c r="J9" s="39"/>
    </row>
    <row r="10" spans="1:13" ht="31.5" x14ac:dyDescent="0.25">
      <c r="A10" s="40">
        <v>20011511</v>
      </c>
      <c r="B10" s="39" t="s">
        <v>12</v>
      </c>
      <c r="C10" s="39" t="s">
        <v>13</v>
      </c>
      <c r="D10" s="39">
        <f t="shared" si="0"/>
        <v>1</v>
      </c>
      <c r="E10" s="39" t="s">
        <v>14</v>
      </c>
      <c r="F10" s="39" t="s">
        <v>35</v>
      </c>
      <c r="G10" s="39" t="s">
        <v>16</v>
      </c>
      <c r="H10" s="39">
        <v>2024</v>
      </c>
      <c r="I10" s="40" t="s">
        <v>36</v>
      </c>
      <c r="J10" s="39"/>
    </row>
    <row r="11" spans="1:13" ht="31.5" x14ac:dyDescent="0.25">
      <c r="A11" s="40">
        <v>23075300</v>
      </c>
      <c r="B11" s="39" t="s">
        <v>26</v>
      </c>
      <c r="C11" s="39" t="s">
        <v>13</v>
      </c>
      <c r="D11" s="39">
        <f t="shared" si="0"/>
        <v>2</v>
      </c>
      <c r="E11" s="39" t="s">
        <v>14</v>
      </c>
      <c r="F11" s="39" t="s">
        <v>29</v>
      </c>
      <c r="G11" s="39" t="s">
        <v>16</v>
      </c>
      <c r="H11" s="39">
        <v>2024</v>
      </c>
      <c r="I11" s="40" t="s">
        <v>37</v>
      </c>
      <c r="J11" s="39"/>
    </row>
    <row r="12" spans="1:13" ht="47.25" x14ac:dyDescent="0.25">
      <c r="A12" s="40">
        <v>21010947</v>
      </c>
      <c r="B12" s="39" t="s">
        <v>20</v>
      </c>
      <c r="C12" s="39" t="s">
        <v>13</v>
      </c>
      <c r="D12" s="39">
        <f t="shared" si="0"/>
        <v>1</v>
      </c>
      <c r="E12" s="39" t="s">
        <v>14</v>
      </c>
      <c r="F12" s="39" t="s">
        <v>15</v>
      </c>
      <c r="G12" s="39" t="s">
        <v>16</v>
      </c>
      <c r="H12" s="39">
        <v>2024</v>
      </c>
      <c r="I12" s="40" t="s">
        <v>38</v>
      </c>
      <c r="J12" s="39"/>
    </row>
    <row r="13" spans="1:13" ht="15.75" x14ac:dyDescent="0.25">
      <c r="A13" s="40">
        <v>20021324</v>
      </c>
      <c r="B13" s="39" t="s">
        <v>20</v>
      </c>
      <c r="C13" s="39" t="s">
        <v>13</v>
      </c>
      <c r="D13" s="39">
        <f t="shared" si="0"/>
        <v>1</v>
      </c>
      <c r="E13" s="39" t="s">
        <v>14</v>
      </c>
      <c r="F13" s="39" t="s">
        <v>35</v>
      </c>
      <c r="G13" s="39" t="s">
        <v>16</v>
      </c>
      <c r="H13" s="39">
        <v>2024</v>
      </c>
      <c r="I13" s="40" t="s">
        <v>39</v>
      </c>
      <c r="J13" s="39"/>
    </row>
    <row r="14" spans="1:13" ht="15.75" x14ac:dyDescent="0.25">
      <c r="A14" s="40">
        <v>22079028</v>
      </c>
      <c r="B14" s="39" t="s">
        <v>20</v>
      </c>
      <c r="C14" s="39" t="s">
        <v>13</v>
      </c>
      <c r="D14" s="39">
        <f t="shared" si="0"/>
        <v>1</v>
      </c>
      <c r="E14" s="39" t="s">
        <v>14</v>
      </c>
      <c r="F14" s="39" t="s">
        <v>29</v>
      </c>
      <c r="G14" s="39" t="s">
        <v>16</v>
      </c>
      <c r="H14" s="39">
        <v>2024</v>
      </c>
      <c r="I14" s="40" t="s">
        <v>40</v>
      </c>
      <c r="J14" s="39"/>
    </row>
    <row r="15" spans="1:13" ht="15.75" x14ac:dyDescent="0.25">
      <c r="A15" s="40">
        <v>22095184</v>
      </c>
      <c r="B15" s="39" t="s">
        <v>20</v>
      </c>
      <c r="C15" s="39" t="s">
        <v>13</v>
      </c>
      <c r="D15" s="39">
        <f t="shared" si="0"/>
        <v>2</v>
      </c>
      <c r="E15" s="39" t="s">
        <v>14</v>
      </c>
      <c r="F15" s="39" t="s">
        <v>29</v>
      </c>
      <c r="G15" s="39" t="s">
        <v>16</v>
      </c>
      <c r="H15" s="39">
        <v>2024</v>
      </c>
      <c r="I15" s="40" t="s">
        <v>40</v>
      </c>
      <c r="J15" s="39"/>
    </row>
    <row r="16" spans="1:13" ht="15.75" x14ac:dyDescent="0.25">
      <c r="A16" s="40">
        <v>20101166</v>
      </c>
      <c r="B16" s="39" t="s">
        <v>20</v>
      </c>
      <c r="C16" s="39" t="s">
        <v>13</v>
      </c>
      <c r="D16" s="39">
        <f t="shared" si="0"/>
        <v>1</v>
      </c>
      <c r="E16" s="39" t="s">
        <v>14</v>
      </c>
      <c r="F16" s="39" t="s">
        <v>29</v>
      </c>
      <c r="G16" s="39" t="s">
        <v>16</v>
      </c>
      <c r="H16" s="39">
        <v>2024</v>
      </c>
      <c r="I16" s="40" t="s">
        <v>41</v>
      </c>
      <c r="J16" s="39"/>
    </row>
    <row r="17" spans="1:10" ht="31.5" x14ac:dyDescent="0.25">
      <c r="A17" s="39">
        <v>23025344</v>
      </c>
      <c r="B17" s="39" t="s">
        <v>12</v>
      </c>
      <c r="C17" s="39" t="s">
        <v>13</v>
      </c>
      <c r="D17" s="39">
        <f t="shared" si="0"/>
        <v>2</v>
      </c>
      <c r="E17" s="39" t="s">
        <v>14</v>
      </c>
      <c r="F17" s="39" t="s">
        <v>29</v>
      </c>
      <c r="G17" s="39" t="s">
        <v>16</v>
      </c>
      <c r="H17" s="39">
        <v>2024</v>
      </c>
      <c r="I17" s="39" t="s">
        <v>42</v>
      </c>
      <c r="J17" s="39"/>
    </row>
    <row r="18" spans="1:10" ht="31.5" x14ac:dyDescent="0.25">
      <c r="A18" s="39">
        <v>22095125</v>
      </c>
      <c r="B18" s="39" t="s">
        <v>12</v>
      </c>
      <c r="C18" s="39" t="s">
        <v>13</v>
      </c>
      <c r="D18" s="39">
        <f t="shared" si="0"/>
        <v>1</v>
      </c>
      <c r="E18" s="39" t="s">
        <v>14</v>
      </c>
      <c r="F18" s="39" t="s">
        <v>43</v>
      </c>
      <c r="G18" s="39" t="s">
        <v>16</v>
      </c>
      <c r="H18" s="39">
        <v>2024</v>
      </c>
      <c r="I18" s="39" t="s">
        <v>44</v>
      </c>
      <c r="J18" s="39"/>
    </row>
    <row r="19" spans="1:10" ht="31.5" x14ac:dyDescent="0.25">
      <c r="A19" s="39">
        <v>23025223</v>
      </c>
      <c r="B19" s="39" t="s">
        <v>12</v>
      </c>
      <c r="C19" s="39" t="s">
        <v>13</v>
      </c>
      <c r="D19" s="39">
        <f t="shared" si="0"/>
        <v>1</v>
      </c>
      <c r="E19" s="39" t="s">
        <v>14</v>
      </c>
      <c r="F19" s="39" t="s">
        <v>35</v>
      </c>
      <c r="G19" s="39" t="s">
        <v>16</v>
      </c>
      <c r="H19" s="39">
        <v>2024</v>
      </c>
      <c r="I19" s="39" t="s">
        <v>45</v>
      </c>
      <c r="J19" s="39"/>
    </row>
    <row r="20" spans="1:10" ht="15.75" x14ac:dyDescent="0.25">
      <c r="A20" s="39">
        <v>22048170</v>
      </c>
      <c r="B20" s="39" t="s">
        <v>12</v>
      </c>
      <c r="C20" s="39" t="s">
        <v>13</v>
      </c>
      <c r="D20" s="39">
        <f t="shared" si="0"/>
        <v>1</v>
      </c>
      <c r="E20" s="39" t="s">
        <v>14</v>
      </c>
      <c r="F20" s="39" t="s">
        <v>35</v>
      </c>
      <c r="G20" s="39" t="s">
        <v>16</v>
      </c>
      <c r="H20" s="39">
        <v>2024</v>
      </c>
      <c r="I20" s="39" t="s">
        <v>46</v>
      </c>
      <c r="J20" s="39"/>
    </row>
    <row r="21" spans="1:10" ht="15.75" x14ac:dyDescent="0.25">
      <c r="A21" s="39">
        <v>20101170</v>
      </c>
      <c r="B21" s="39" t="s">
        <v>20</v>
      </c>
      <c r="C21" s="39" t="s">
        <v>13</v>
      </c>
      <c r="D21" s="39">
        <f t="shared" si="0"/>
        <v>1</v>
      </c>
      <c r="E21" s="39" t="s">
        <v>14</v>
      </c>
      <c r="F21" s="39" t="s">
        <v>35</v>
      </c>
      <c r="G21" s="39" t="s">
        <v>16</v>
      </c>
      <c r="H21" s="39">
        <v>2024</v>
      </c>
      <c r="I21" s="39" t="s">
        <v>47</v>
      </c>
      <c r="J21" s="39"/>
    </row>
    <row r="22" spans="1:10" ht="31.5" x14ac:dyDescent="0.25">
      <c r="A22" s="39">
        <v>22095162</v>
      </c>
      <c r="B22" s="39" t="s">
        <v>12</v>
      </c>
      <c r="C22" s="39" t="s">
        <v>13</v>
      </c>
      <c r="D22" s="39">
        <f t="shared" si="0"/>
        <v>1</v>
      </c>
      <c r="E22" s="39" t="s">
        <v>14</v>
      </c>
      <c r="F22" s="39" t="s">
        <v>35</v>
      </c>
      <c r="G22" s="39" t="s">
        <v>16</v>
      </c>
      <c r="H22" s="39">
        <v>2024</v>
      </c>
      <c r="I22" s="39" t="s">
        <v>48</v>
      </c>
      <c r="J22" s="39"/>
    </row>
    <row r="23" spans="1:10" ht="47.25" x14ac:dyDescent="0.25">
      <c r="A23" s="39">
        <v>23025305</v>
      </c>
      <c r="B23" s="39" t="s">
        <v>12</v>
      </c>
      <c r="C23" s="39" t="s">
        <v>13</v>
      </c>
      <c r="D23" s="39">
        <f t="shared" si="0"/>
        <v>1</v>
      </c>
      <c r="E23" s="39" t="s">
        <v>14</v>
      </c>
      <c r="F23" s="39" t="s">
        <v>49</v>
      </c>
      <c r="G23" s="39" t="s">
        <v>16</v>
      </c>
      <c r="H23" s="39">
        <v>2024</v>
      </c>
      <c r="I23" s="39" t="s">
        <v>50</v>
      </c>
      <c r="J23" s="39"/>
    </row>
    <row r="24" spans="1:10" ht="47.25" x14ac:dyDescent="0.25">
      <c r="A24" s="39">
        <v>24017168</v>
      </c>
      <c r="B24" s="39" t="s">
        <v>26</v>
      </c>
      <c r="C24" s="39" t="s">
        <v>13</v>
      </c>
      <c r="D24" s="39">
        <f t="shared" si="0"/>
        <v>1</v>
      </c>
      <c r="E24" s="39" t="s">
        <v>51</v>
      </c>
      <c r="F24" s="39" t="s">
        <v>35</v>
      </c>
      <c r="G24" s="39" t="s">
        <v>16</v>
      </c>
      <c r="H24" s="39">
        <v>2024</v>
      </c>
      <c r="I24" s="39" t="s">
        <v>52</v>
      </c>
      <c r="J24" s="39"/>
    </row>
    <row r="25" spans="1:10" ht="15.75" x14ac:dyDescent="0.25">
      <c r="A25" s="39">
        <v>23051335</v>
      </c>
      <c r="B25" s="39" t="s">
        <v>26</v>
      </c>
      <c r="C25" s="39" t="s">
        <v>13</v>
      </c>
      <c r="D25" s="39">
        <f t="shared" si="0"/>
        <v>1</v>
      </c>
      <c r="E25" s="39" t="s">
        <v>51</v>
      </c>
      <c r="F25" s="39" t="s">
        <v>49</v>
      </c>
      <c r="G25" s="39" t="s">
        <v>16</v>
      </c>
      <c r="H25" s="39">
        <v>2024</v>
      </c>
      <c r="I25" s="39" t="s">
        <v>53</v>
      </c>
      <c r="J25" s="39"/>
    </row>
    <row r="26" spans="1:10" ht="31.5" x14ac:dyDescent="0.25">
      <c r="A26" s="39">
        <v>24020617</v>
      </c>
      <c r="B26" s="39" t="s">
        <v>26</v>
      </c>
      <c r="C26" s="39" t="s">
        <v>13</v>
      </c>
      <c r="D26" s="39">
        <f t="shared" si="0"/>
        <v>2</v>
      </c>
      <c r="E26" s="39" t="s">
        <v>51</v>
      </c>
      <c r="F26" s="39" t="s">
        <v>29</v>
      </c>
      <c r="G26" s="39" t="s">
        <v>16</v>
      </c>
      <c r="H26" s="39">
        <v>2024</v>
      </c>
      <c r="I26" s="39" t="s">
        <v>54</v>
      </c>
      <c r="J26" s="39"/>
    </row>
    <row r="27" spans="1:10" ht="31.5" x14ac:dyDescent="0.25">
      <c r="A27" s="39">
        <v>23075300</v>
      </c>
      <c r="B27" s="39" t="s">
        <v>26</v>
      </c>
      <c r="C27" s="39" t="s">
        <v>13</v>
      </c>
      <c r="D27" s="39">
        <f t="shared" si="0"/>
        <v>2</v>
      </c>
      <c r="E27" s="39" t="s">
        <v>51</v>
      </c>
      <c r="F27" s="39" t="s">
        <v>21</v>
      </c>
      <c r="G27" s="39" t="s">
        <v>16</v>
      </c>
      <c r="H27" s="39">
        <v>2024</v>
      </c>
      <c r="I27" s="39" t="s">
        <v>55</v>
      </c>
      <c r="J27" s="39"/>
    </row>
    <row r="28" spans="1:10" ht="15.75" x14ac:dyDescent="0.25">
      <c r="A28" s="39">
        <v>23095119</v>
      </c>
      <c r="B28" s="39" t="s">
        <v>26</v>
      </c>
      <c r="C28" s="39" t="s">
        <v>13</v>
      </c>
      <c r="D28" s="39">
        <f t="shared" si="0"/>
        <v>1</v>
      </c>
      <c r="E28" s="39" t="s">
        <v>51</v>
      </c>
      <c r="F28" s="39" t="s">
        <v>56</v>
      </c>
      <c r="G28" s="39" t="s">
        <v>16</v>
      </c>
      <c r="H28" s="39">
        <v>2024</v>
      </c>
      <c r="I28" s="39" t="s">
        <v>57</v>
      </c>
      <c r="J28" s="39"/>
    </row>
    <row r="29" spans="1:10" ht="31.5" x14ac:dyDescent="0.25">
      <c r="A29" s="39">
        <v>23125426</v>
      </c>
      <c r="B29" s="39" t="s">
        <v>26</v>
      </c>
      <c r="C29" s="39" t="s">
        <v>13</v>
      </c>
      <c r="D29" s="39">
        <f t="shared" si="0"/>
        <v>1</v>
      </c>
      <c r="E29" s="39" t="s">
        <v>51</v>
      </c>
      <c r="F29" s="39" t="s">
        <v>49</v>
      </c>
      <c r="G29" s="39" t="s">
        <v>16</v>
      </c>
      <c r="H29" s="39">
        <v>2024</v>
      </c>
      <c r="I29" s="39" t="s">
        <v>58</v>
      </c>
      <c r="J29" s="39"/>
    </row>
    <row r="30" spans="1:10" ht="31.5" x14ac:dyDescent="0.25">
      <c r="A30" s="39">
        <v>22095221</v>
      </c>
      <c r="B30" s="39" t="s">
        <v>12</v>
      </c>
      <c r="C30" s="39" t="s">
        <v>13</v>
      </c>
      <c r="D30" s="39">
        <f t="shared" si="0"/>
        <v>1</v>
      </c>
      <c r="E30" s="39" t="s">
        <v>14</v>
      </c>
      <c r="F30" s="39" t="s">
        <v>59</v>
      </c>
      <c r="G30" s="39" t="s">
        <v>16</v>
      </c>
      <c r="H30" s="39">
        <v>2024</v>
      </c>
      <c r="I30" s="39" t="s">
        <v>60</v>
      </c>
      <c r="J30" s="39"/>
    </row>
    <row r="31" spans="1:10" ht="15.75" x14ac:dyDescent="0.25">
      <c r="A31" s="39">
        <v>24035094</v>
      </c>
      <c r="B31" s="39" t="s">
        <v>26</v>
      </c>
      <c r="C31" s="39" t="s">
        <v>13</v>
      </c>
      <c r="D31" s="39">
        <f t="shared" si="0"/>
        <v>1</v>
      </c>
      <c r="E31" s="39" t="s">
        <v>51</v>
      </c>
      <c r="F31" s="39" t="s">
        <v>61</v>
      </c>
      <c r="G31" s="39" t="s">
        <v>16</v>
      </c>
      <c r="H31" s="39">
        <v>2024</v>
      </c>
      <c r="I31" s="39" t="s">
        <v>62</v>
      </c>
      <c r="J31" s="39"/>
    </row>
    <row r="32" spans="1:10" ht="15.75" x14ac:dyDescent="0.25">
      <c r="A32" s="39">
        <v>24035096</v>
      </c>
      <c r="B32" s="39" t="s">
        <v>26</v>
      </c>
      <c r="C32" s="39" t="s">
        <v>13</v>
      </c>
      <c r="D32" s="39">
        <f t="shared" si="0"/>
        <v>1</v>
      </c>
      <c r="E32" s="39" t="s">
        <v>51</v>
      </c>
      <c r="F32" s="39" t="s">
        <v>61</v>
      </c>
      <c r="G32" s="39" t="s">
        <v>16</v>
      </c>
      <c r="H32" s="39">
        <v>2024</v>
      </c>
      <c r="I32" s="39" t="s">
        <v>62</v>
      </c>
      <c r="J32" s="39"/>
    </row>
    <row r="33" spans="1:10" ht="31.5" x14ac:dyDescent="0.25">
      <c r="A33" s="39">
        <v>24023002</v>
      </c>
      <c r="B33" s="39" t="s">
        <v>26</v>
      </c>
      <c r="C33" s="39" t="s">
        <v>13</v>
      </c>
      <c r="D33" s="39">
        <f t="shared" si="0"/>
        <v>1</v>
      </c>
      <c r="E33" s="39" t="s">
        <v>51</v>
      </c>
      <c r="F33" s="39" t="s">
        <v>35</v>
      </c>
      <c r="G33" s="39" t="s">
        <v>16</v>
      </c>
      <c r="H33" s="39">
        <v>2024</v>
      </c>
      <c r="I33" s="39" t="s">
        <v>63</v>
      </c>
      <c r="J33" s="39"/>
    </row>
    <row r="34" spans="1:10" ht="15.75" x14ac:dyDescent="0.25">
      <c r="A34" s="39">
        <v>24020702</v>
      </c>
      <c r="B34" s="39" t="s">
        <v>26</v>
      </c>
      <c r="C34" s="39" t="s">
        <v>13</v>
      </c>
      <c r="D34" s="39">
        <f t="shared" si="0"/>
        <v>1</v>
      </c>
      <c r="E34" s="39" t="s">
        <v>51</v>
      </c>
      <c r="F34" s="39" t="s">
        <v>35</v>
      </c>
      <c r="G34" s="39" t="s">
        <v>16</v>
      </c>
      <c r="H34" s="39">
        <v>2024</v>
      </c>
      <c r="I34" s="39" t="s">
        <v>64</v>
      </c>
      <c r="J34" s="39"/>
    </row>
    <row r="35" spans="1:10" ht="31.5" x14ac:dyDescent="0.25">
      <c r="A35" s="39">
        <v>24035095</v>
      </c>
      <c r="B35" s="39" t="s">
        <v>26</v>
      </c>
      <c r="C35" s="39" t="s">
        <v>13</v>
      </c>
      <c r="D35" s="39">
        <f t="shared" si="0"/>
        <v>1</v>
      </c>
      <c r="E35" s="39" t="s">
        <v>51</v>
      </c>
      <c r="F35" s="39" t="s">
        <v>59</v>
      </c>
      <c r="G35" s="39" t="s">
        <v>16</v>
      </c>
      <c r="H35" s="39">
        <v>2024</v>
      </c>
      <c r="I35" s="39" t="s">
        <v>65</v>
      </c>
      <c r="J35" s="39"/>
    </row>
    <row r="36" spans="1:10" ht="31.5" x14ac:dyDescent="0.25">
      <c r="A36" s="39">
        <v>23115112</v>
      </c>
      <c r="B36" s="39" t="s">
        <v>26</v>
      </c>
      <c r="C36" s="39" t="s">
        <v>13</v>
      </c>
      <c r="D36" s="39">
        <f t="shared" si="0"/>
        <v>1</v>
      </c>
      <c r="E36" s="39" t="s">
        <v>51</v>
      </c>
      <c r="F36" s="39" t="s">
        <v>59</v>
      </c>
      <c r="G36" s="39" t="s">
        <v>16</v>
      </c>
      <c r="H36" s="39">
        <v>2024</v>
      </c>
      <c r="I36" s="39" t="s">
        <v>66</v>
      </c>
      <c r="J36" s="39"/>
    </row>
    <row r="37" spans="1:10" ht="15.75" x14ac:dyDescent="0.25">
      <c r="A37" s="39">
        <v>23095073</v>
      </c>
      <c r="B37" s="39" t="s">
        <v>26</v>
      </c>
      <c r="C37" s="39" t="s">
        <v>13</v>
      </c>
      <c r="D37" s="39">
        <f t="shared" si="0"/>
        <v>1</v>
      </c>
      <c r="E37" s="39" t="s">
        <v>51</v>
      </c>
      <c r="F37" s="39" t="s">
        <v>67</v>
      </c>
      <c r="G37" s="39" t="s">
        <v>16</v>
      </c>
      <c r="H37" s="39">
        <v>2024</v>
      </c>
      <c r="I37" s="39" t="s">
        <v>68</v>
      </c>
      <c r="J37" s="39"/>
    </row>
    <row r="38" spans="1:10" ht="15.75" x14ac:dyDescent="0.25">
      <c r="A38" s="39">
        <v>23085034</v>
      </c>
      <c r="B38" s="39" t="s">
        <v>26</v>
      </c>
      <c r="C38" s="39" t="s">
        <v>13</v>
      </c>
      <c r="D38" s="39">
        <f t="shared" si="0"/>
        <v>1</v>
      </c>
      <c r="E38" s="39" t="s">
        <v>51</v>
      </c>
      <c r="F38" s="39" t="s">
        <v>67</v>
      </c>
      <c r="G38" s="39" t="s">
        <v>16</v>
      </c>
      <c r="H38" s="39">
        <v>2024</v>
      </c>
      <c r="I38" s="39" t="s">
        <v>68</v>
      </c>
      <c r="J38" s="39"/>
    </row>
    <row r="39" spans="1:10" ht="47.25" x14ac:dyDescent="0.25">
      <c r="A39" s="39">
        <v>24021156</v>
      </c>
      <c r="B39" s="39" t="s">
        <v>26</v>
      </c>
      <c r="C39" s="39" t="s">
        <v>13</v>
      </c>
      <c r="D39" s="39">
        <f t="shared" si="0"/>
        <v>1</v>
      </c>
      <c r="E39" s="39" t="s">
        <v>51</v>
      </c>
      <c r="F39" s="39" t="s">
        <v>29</v>
      </c>
      <c r="G39" s="39" t="s">
        <v>16</v>
      </c>
      <c r="H39" s="39">
        <v>2024</v>
      </c>
      <c r="I39" s="39" t="s">
        <v>69</v>
      </c>
      <c r="J39" s="39"/>
    </row>
    <row r="40" spans="1:10" ht="15.75" x14ac:dyDescent="0.25">
      <c r="A40" s="39">
        <v>23095140</v>
      </c>
      <c r="B40" s="39" t="s">
        <v>26</v>
      </c>
      <c r="C40" s="39" t="s">
        <v>13</v>
      </c>
      <c r="D40" s="39">
        <f t="shared" si="0"/>
        <v>1</v>
      </c>
      <c r="E40" s="39" t="s">
        <v>51</v>
      </c>
      <c r="F40" s="39" t="s">
        <v>70</v>
      </c>
      <c r="G40" s="39" t="s">
        <v>16</v>
      </c>
      <c r="H40" s="39">
        <v>2024</v>
      </c>
      <c r="I40" s="39" t="s">
        <v>71</v>
      </c>
      <c r="J40" s="39"/>
    </row>
    <row r="41" spans="1:10" ht="31.5" x14ac:dyDescent="0.25">
      <c r="A41" s="39">
        <v>24020622</v>
      </c>
      <c r="B41" s="39" t="s">
        <v>26</v>
      </c>
      <c r="C41" s="39" t="s">
        <v>13</v>
      </c>
      <c r="D41" s="39">
        <f t="shared" si="0"/>
        <v>1</v>
      </c>
      <c r="E41" s="39" t="s">
        <v>51</v>
      </c>
      <c r="F41" s="39" t="s">
        <v>70</v>
      </c>
      <c r="G41" s="39" t="s">
        <v>16</v>
      </c>
      <c r="H41" s="39">
        <v>2024</v>
      </c>
      <c r="I41" s="39" t="s">
        <v>72</v>
      </c>
      <c r="J41" s="39"/>
    </row>
    <row r="42" spans="1:10" ht="31.5" x14ac:dyDescent="0.25">
      <c r="A42" s="39">
        <v>23115168</v>
      </c>
      <c r="B42" s="39" t="s">
        <v>26</v>
      </c>
      <c r="C42" s="39" t="s">
        <v>13</v>
      </c>
      <c r="D42" s="39">
        <f t="shared" si="0"/>
        <v>1</v>
      </c>
      <c r="E42" s="39" t="s">
        <v>51</v>
      </c>
      <c r="F42" s="39" t="s">
        <v>59</v>
      </c>
      <c r="G42" s="39" t="s">
        <v>16</v>
      </c>
      <c r="H42" s="39">
        <v>2024</v>
      </c>
      <c r="I42" s="39" t="s">
        <v>73</v>
      </c>
      <c r="J42" s="39"/>
    </row>
    <row r="43" spans="1:10" ht="31.5" x14ac:dyDescent="0.25">
      <c r="A43" s="39">
        <v>23115174</v>
      </c>
      <c r="B43" s="39" t="s">
        <v>26</v>
      </c>
      <c r="C43" s="39" t="s">
        <v>13</v>
      </c>
      <c r="D43" s="39">
        <f t="shared" si="0"/>
        <v>1</v>
      </c>
      <c r="E43" s="39" t="s">
        <v>51</v>
      </c>
      <c r="F43" s="39" t="s">
        <v>59</v>
      </c>
      <c r="G43" s="39" t="s">
        <v>16</v>
      </c>
      <c r="H43" s="39">
        <v>2024</v>
      </c>
      <c r="I43" s="39" t="s">
        <v>74</v>
      </c>
      <c r="J43" s="39"/>
    </row>
    <row r="44" spans="1:10" ht="15.75" x14ac:dyDescent="0.25">
      <c r="A44" s="39">
        <v>24017147</v>
      </c>
      <c r="B44" s="39" t="s">
        <v>26</v>
      </c>
      <c r="C44" s="39" t="s">
        <v>13</v>
      </c>
      <c r="D44" s="39">
        <f t="shared" si="0"/>
        <v>1</v>
      </c>
      <c r="E44" s="39" t="s">
        <v>51</v>
      </c>
      <c r="F44" s="39" t="s">
        <v>59</v>
      </c>
      <c r="G44" s="39" t="s">
        <v>16</v>
      </c>
      <c r="H44" s="39">
        <v>2024</v>
      </c>
      <c r="I44" s="39" t="s">
        <v>75</v>
      </c>
      <c r="J44" s="39"/>
    </row>
    <row r="45" spans="1:10" ht="31.5" x14ac:dyDescent="0.25">
      <c r="A45" s="39">
        <v>24020699</v>
      </c>
      <c r="B45" s="39" t="s">
        <v>26</v>
      </c>
      <c r="C45" s="39" t="s">
        <v>13</v>
      </c>
      <c r="D45" s="39">
        <f t="shared" si="0"/>
        <v>1</v>
      </c>
      <c r="E45" s="39" t="s">
        <v>51</v>
      </c>
      <c r="F45" s="39" t="s">
        <v>76</v>
      </c>
      <c r="G45" s="39" t="s">
        <v>16</v>
      </c>
      <c r="H45" s="39">
        <v>2024</v>
      </c>
      <c r="I45" s="39" t="s">
        <v>77</v>
      </c>
      <c r="J45" s="39"/>
    </row>
    <row r="46" spans="1:10" ht="15.75" x14ac:dyDescent="0.25">
      <c r="A46" s="39">
        <v>24045266</v>
      </c>
      <c r="B46" s="39" t="s">
        <v>26</v>
      </c>
      <c r="C46" s="39" t="s">
        <v>13</v>
      </c>
      <c r="D46" s="39">
        <f t="shared" si="0"/>
        <v>1</v>
      </c>
      <c r="E46" s="39" t="s">
        <v>51</v>
      </c>
      <c r="F46" s="39" t="s">
        <v>61</v>
      </c>
      <c r="G46" s="39" t="s">
        <v>16</v>
      </c>
      <c r="H46" s="39">
        <v>2024</v>
      </c>
      <c r="I46" s="39" t="s">
        <v>62</v>
      </c>
      <c r="J46" s="39"/>
    </row>
    <row r="47" spans="1:10" ht="15.75" x14ac:dyDescent="0.25">
      <c r="A47" s="39">
        <v>24045269</v>
      </c>
      <c r="B47" s="39" t="s">
        <v>26</v>
      </c>
      <c r="C47" s="39" t="s">
        <v>13</v>
      </c>
      <c r="D47" s="39">
        <f t="shared" si="0"/>
        <v>2</v>
      </c>
      <c r="E47" s="39" t="s">
        <v>51</v>
      </c>
      <c r="F47" s="39" t="s">
        <v>29</v>
      </c>
      <c r="G47" s="39" t="s">
        <v>16</v>
      </c>
      <c r="H47" s="39">
        <v>2024</v>
      </c>
      <c r="I47" s="39" t="s">
        <v>78</v>
      </c>
      <c r="J47" s="39"/>
    </row>
    <row r="48" spans="1:10" ht="15.75" x14ac:dyDescent="0.25">
      <c r="A48" s="39">
        <v>24045334</v>
      </c>
      <c r="B48" s="39" t="s">
        <v>26</v>
      </c>
      <c r="C48" s="39" t="s">
        <v>13</v>
      </c>
      <c r="D48" s="39">
        <f t="shared" si="0"/>
        <v>1</v>
      </c>
      <c r="E48" s="39" t="s">
        <v>51</v>
      </c>
      <c r="F48" s="39" t="s">
        <v>29</v>
      </c>
      <c r="G48" s="39" t="s">
        <v>16</v>
      </c>
      <c r="H48" s="39">
        <v>2024</v>
      </c>
      <c r="I48" s="39" t="s">
        <v>78</v>
      </c>
      <c r="J48" s="39"/>
    </row>
    <row r="49" spans="1:10" ht="31.5" x14ac:dyDescent="0.25">
      <c r="A49" s="39">
        <v>23115044</v>
      </c>
      <c r="B49" s="39" t="s">
        <v>79</v>
      </c>
      <c r="C49" s="39" t="s">
        <v>80</v>
      </c>
      <c r="D49" s="39">
        <f t="shared" si="0"/>
        <v>1</v>
      </c>
      <c r="E49" s="39" t="s">
        <v>14</v>
      </c>
      <c r="F49" s="39" t="s">
        <v>81</v>
      </c>
      <c r="G49" s="39" t="s">
        <v>16</v>
      </c>
      <c r="H49" s="39">
        <v>2024</v>
      </c>
      <c r="I49" s="39" t="s">
        <v>82</v>
      </c>
      <c r="J49" s="39"/>
    </row>
    <row r="50" spans="1:10" ht="47.25" x14ac:dyDescent="0.25">
      <c r="A50" s="39">
        <v>23115045</v>
      </c>
      <c r="B50" s="39" t="s">
        <v>79</v>
      </c>
      <c r="C50" s="39" t="s">
        <v>80</v>
      </c>
      <c r="D50" s="39">
        <f t="shared" si="0"/>
        <v>1</v>
      </c>
      <c r="E50" s="39" t="s">
        <v>14</v>
      </c>
      <c r="F50" s="39" t="s">
        <v>83</v>
      </c>
      <c r="G50" s="39" t="s">
        <v>16</v>
      </c>
      <c r="H50" s="39">
        <v>2024</v>
      </c>
      <c r="I50" s="39" t="s">
        <v>84</v>
      </c>
      <c r="J50" s="39"/>
    </row>
    <row r="51" spans="1:10" ht="31.5" x14ac:dyDescent="0.25">
      <c r="A51" s="39">
        <v>23115047</v>
      </c>
      <c r="B51" s="39" t="s">
        <v>79</v>
      </c>
      <c r="C51" s="39" t="s">
        <v>80</v>
      </c>
      <c r="D51" s="39">
        <f t="shared" si="0"/>
        <v>1</v>
      </c>
      <c r="E51" s="39" t="s">
        <v>14</v>
      </c>
      <c r="F51" s="39" t="s">
        <v>83</v>
      </c>
      <c r="G51" s="39" t="s">
        <v>16</v>
      </c>
      <c r="H51" s="39">
        <v>2024</v>
      </c>
      <c r="I51" s="39" t="s">
        <v>85</v>
      </c>
      <c r="J51" s="39"/>
    </row>
    <row r="52" spans="1:10" ht="31.5" x14ac:dyDescent="0.25">
      <c r="A52" s="39">
        <v>24017342</v>
      </c>
      <c r="B52" s="39" t="s">
        <v>79</v>
      </c>
      <c r="C52" s="39" t="s">
        <v>80</v>
      </c>
      <c r="D52" s="39">
        <f t="shared" si="0"/>
        <v>1</v>
      </c>
      <c r="E52" s="39" t="s">
        <v>14</v>
      </c>
      <c r="F52" s="39" t="s">
        <v>86</v>
      </c>
      <c r="G52" s="39" t="s">
        <v>16</v>
      </c>
      <c r="H52" s="39">
        <v>2024</v>
      </c>
      <c r="I52" s="39" t="s">
        <v>87</v>
      </c>
      <c r="J52" s="39"/>
    </row>
    <row r="53" spans="1:10" ht="31.5" x14ac:dyDescent="0.25">
      <c r="A53" s="39">
        <v>23125120</v>
      </c>
      <c r="B53" s="39" t="s">
        <v>79</v>
      </c>
      <c r="C53" s="39" t="s">
        <v>80</v>
      </c>
      <c r="D53" s="39">
        <f t="shared" si="0"/>
        <v>1</v>
      </c>
      <c r="E53" s="39" t="s">
        <v>14</v>
      </c>
      <c r="F53" s="39" t="s">
        <v>88</v>
      </c>
      <c r="G53" s="39" t="s">
        <v>16</v>
      </c>
      <c r="H53" s="39">
        <v>2024</v>
      </c>
      <c r="I53" s="39" t="s">
        <v>89</v>
      </c>
      <c r="J53" s="39"/>
    </row>
    <row r="54" spans="1:10" ht="31.5" x14ac:dyDescent="0.25">
      <c r="A54" s="39">
        <v>23052248</v>
      </c>
      <c r="B54" s="39" t="s">
        <v>79</v>
      </c>
      <c r="C54" s="39" t="s">
        <v>80</v>
      </c>
      <c r="D54" s="39">
        <f t="shared" si="0"/>
        <v>1</v>
      </c>
      <c r="E54" s="39" t="s">
        <v>14</v>
      </c>
      <c r="F54" s="39" t="s">
        <v>90</v>
      </c>
      <c r="G54" s="39" t="s">
        <v>16</v>
      </c>
      <c r="H54" s="39">
        <v>2024</v>
      </c>
      <c r="I54" s="39" t="s">
        <v>91</v>
      </c>
      <c r="J54" s="39"/>
    </row>
    <row r="55" spans="1:10" ht="31.5" x14ac:dyDescent="0.25">
      <c r="A55" s="39">
        <v>23075370</v>
      </c>
      <c r="B55" s="39" t="s">
        <v>79</v>
      </c>
      <c r="C55" s="39" t="s">
        <v>80</v>
      </c>
      <c r="D55" s="39">
        <f t="shared" si="0"/>
        <v>1</v>
      </c>
      <c r="E55" s="39" t="s">
        <v>14</v>
      </c>
      <c r="F55" s="39" t="s">
        <v>92</v>
      </c>
      <c r="G55" s="39" t="s">
        <v>16</v>
      </c>
      <c r="H55" s="39">
        <v>2024</v>
      </c>
      <c r="I55" s="39" t="s">
        <v>93</v>
      </c>
      <c r="J55" s="39"/>
    </row>
    <row r="56" spans="1:10" ht="15.75" x14ac:dyDescent="0.25">
      <c r="A56" s="39">
        <v>24045863</v>
      </c>
      <c r="B56" s="39" t="s">
        <v>26</v>
      </c>
      <c r="C56" s="39" t="s">
        <v>13</v>
      </c>
      <c r="D56" s="39">
        <f t="shared" si="0"/>
        <v>2</v>
      </c>
      <c r="E56" s="39" t="s">
        <v>51</v>
      </c>
      <c r="F56" s="39" t="s">
        <v>94</v>
      </c>
      <c r="G56" s="39" t="s">
        <v>16</v>
      </c>
      <c r="H56" s="41">
        <v>45412</v>
      </c>
      <c r="I56" s="39" t="s">
        <v>95</v>
      </c>
      <c r="J56" s="39"/>
    </row>
    <row r="57" spans="1:10" ht="15.75" x14ac:dyDescent="0.25">
      <c r="A57" s="39">
        <v>24045863</v>
      </c>
      <c r="B57" s="39" t="s">
        <v>26</v>
      </c>
      <c r="C57" s="39" t="s">
        <v>13</v>
      </c>
      <c r="D57" s="39">
        <f t="shared" si="0"/>
        <v>2</v>
      </c>
      <c r="E57" s="39" t="s">
        <v>51</v>
      </c>
      <c r="F57" s="39" t="s">
        <v>96</v>
      </c>
      <c r="G57" s="39" t="s">
        <v>16</v>
      </c>
      <c r="H57" s="41">
        <v>45412</v>
      </c>
      <c r="I57" s="39" t="s">
        <v>97</v>
      </c>
      <c r="J57" s="39"/>
    </row>
    <row r="58" spans="1:10" ht="15.75" x14ac:dyDescent="0.25">
      <c r="A58" s="39">
        <v>24045836</v>
      </c>
      <c r="B58" s="39" t="s">
        <v>26</v>
      </c>
      <c r="C58" s="39" t="s">
        <v>13</v>
      </c>
      <c r="D58" s="39">
        <f t="shared" si="0"/>
        <v>2</v>
      </c>
      <c r="E58" s="39" t="s">
        <v>51</v>
      </c>
      <c r="F58" s="39" t="s">
        <v>15</v>
      </c>
      <c r="G58" s="39" t="s">
        <v>16</v>
      </c>
      <c r="H58" s="41">
        <v>45412</v>
      </c>
      <c r="I58" s="39" t="s">
        <v>98</v>
      </c>
      <c r="J58" s="39"/>
    </row>
    <row r="59" spans="1:10" ht="15.75" x14ac:dyDescent="0.25">
      <c r="A59" s="39">
        <v>24045836</v>
      </c>
      <c r="B59" s="39" t="s">
        <v>26</v>
      </c>
      <c r="C59" s="39" t="s">
        <v>13</v>
      </c>
      <c r="D59" s="39">
        <f t="shared" si="0"/>
        <v>2</v>
      </c>
      <c r="E59" s="39" t="s">
        <v>51</v>
      </c>
      <c r="F59" s="39" t="s">
        <v>99</v>
      </c>
      <c r="G59" s="39" t="s">
        <v>16</v>
      </c>
      <c r="H59" s="41">
        <v>45412</v>
      </c>
      <c r="I59" s="39" t="s">
        <v>100</v>
      </c>
      <c r="J59" s="39"/>
    </row>
    <row r="60" spans="1:10" ht="15.75" x14ac:dyDescent="0.25">
      <c r="A60" s="39">
        <v>24045884</v>
      </c>
      <c r="B60" s="39" t="s">
        <v>26</v>
      </c>
      <c r="C60" s="39" t="s">
        <v>13</v>
      </c>
      <c r="D60" s="39">
        <f t="shared" si="0"/>
        <v>2</v>
      </c>
      <c r="E60" s="39" t="s">
        <v>51</v>
      </c>
      <c r="F60" s="39" t="s">
        <v>15</v>
      </c>
      <c r="G60" s="39" t="s">
        <v>16</v>
      </c>
      <c r="H60" s="41">
        <v>45412</v>
      </c>
      <c r="I60" s="39" t="s">
        <v>101</v>
      </c>
      <c r="J60" s="39"/>
    </row>
    <row r="61" spans="1:10" ht="15.75" x14ac:dyDescent="0.25">
      <c r="A61" s="39">
        <v>24045847</v>
      </c>
      <c r="B61" s="39" t="s">
        <v>26</v>
      </c>
      <c r="C61" s="39" t="s">
        <v>13</v>
      </c>
      <c r="D61" s="39">
        <f t="shared" si="0"/>
        <v>1</v>
      </c>
      <c r="E61" s="39" t="s">
        <v>51</v>
      </c>
      <c r="F61" s="39" t="s">
        <v>15</v>
      </c>
      <c r="G61" s="39" t="s">
        <v>16</v>
      </c>
      <c r="H61" s="41">
        <v>45412</v>
      </c>
      <c r="I61" s="39" t="s">
        <v>101</v>
      </c>
      <c r="J61" s="39"/>
    </row>
    <row r="62" spans="1:10" ht="15.75" x14ac:dyDescent="0.25">
      <c r="A62" s="39">
        <v>24045884</v>
      </c>
      <c r="B62" s="39" t="s">
        <v>26</v>
      </c>
      <c r="C62" s="39" t="s">
        <v>13</v>
      </c>
      <c r="D62" s="39">
        <f t="shared" si="0"/>
        <v>2</v>
      </c>
      <c r="E62" s="39" t="s">
        <v>51</v>
      </c>
      <c r="F62" s="39" t="s">
        <v>29</v>
      </c>
      <c r="G62" s="39" t="s">
        <v>16</v>
      </c>
      <c r="H62" s="41">
        <v>45412</v>
      </c>
      <c r="I62" s="39" t="s">
        <v>102</v>
      </c>
      <c r="J62" s="39"/>
    </row>
    <row r="63" spans="1:10" ht="15.75" x14ac:dyDescent="0.25">
      <c r="A63" s="39">
        <v>24045917</v>
      </c>
      <c r="B63" s="39" t="s">
        <v>26</v>
      </c>
      <c r="C63" s="39" t="s">
        <v>13</v>
      </c>
      <c r="D63" s="39">
        <f t="shared" si="0"/>
        <v>1</v>
      </c>
      <c r="E63" s="39" t="s">
        <v>51</v>
      </c>
      <c r="F63" s="39" t="s">
        <v>29</v>
      </c>
      <c r="G63" s="39" t="s">
        <v>16</v>
      </c>
      <c r="H63" s="41">
        <v>45412</v>
      </c>
      <c r="I63" s="39" t="s">
        <v>103</v>
      </c>
      <c r="J63" s="39"/>
    </row>
    <row r="64" spans="1:10" ht="15.75" x14ac:dyDescent="0.25">
      <c r="A64" s="39">
        <v>24045839</v>
      </c>
      <c r="B64" s="39" t="s">
        <v>26</v>
      </c>
      <c r="C64" s="39" t="s">
        <v>13</v>
      </c>
      <c r="D64" s="39">
        <f t="shared" si="0"/>
        <v>2</v>
      </c>
      <c r="E64" s="39" t="s">
        <v>51</v>
      </c>
      <c r="F64" s="39" t="s">
        <v>29</v>
      </c>
      <c r="G64" s="39" t="s">
        <v>16</v>
      </c>
      <c r="H64" s="41">
        <v>45412</v>
      </c>
      <c r="I64" s="39" t="s">
        <v>104</v>
      </c>
      <c r="J64" s="39"/>
    </row>
    <row r="65" spans="1:10" ht="15.75" x14ac:dyDescent="0.25">
      <c r="A65" s="39">
        <v>24045269</v>
      </c>
      <c r="B65" s="39" t="s">
        <v>26</v>
      </c>
      <c r="C65" s="39" t="s">
        <v>13</v>
      </c>
      <c r="D65" s="39">
        <f t="shared" si="0"/>
        <v>2</v>
      </c>
      <c r="E65" s="39" t="s">
        <v>51</v>
      </c>
      <c r="F65" s="39" t="s">
        <v>29</v>
      </c>
      <c r="G65" s="39" t="s">
        <v>16</v>
      </c>
      <c r="H65" s="41">
        <v>45412</v>
      </c>
      <c r="I65" s="39" t="s">
        <v>105</v>
      </c>
      <c r="J65" s="39"/>
    </row>
    <row r="66" spans="1:10" ht="47.25" x14ac:dyDescent="0.25">
      <c r="A66" s="39">
        <v>22061094</v>
      </c>
      <c r="B66" s="39" t="s">
        <v>12</v>
      </c>
      <c r="C66" s="39" t="s">
        <v>13</v>
      </c>
      <c r="D66" s="39">
        <f t="shared" ref="D66:D129" si="1">COUNTIF(A:A,A66)</f>
        <v>1</v>
      </c>
      <c r="E66" s="39" t="s">
        <v>14</v>
      </c>
      <c r="F66" s="39" t="s">
        <v>43</v>
      </c>
      <c r="G66" s="39" t="s">
        <v>16</v>
      </c>
      <c r="H66" s="41">
        <v>45413</v>
      </c>
      <c r="I66" s="39" t="s">
        <v>106</v>
      </c>
      <c r="J66" s="39"/>
    </row>
    <row r="67" spans="1:10" ht="63" x14ac:dyDescent="0.25">
      <c r="A67" s="39">
        <v>20011523</v>
      </c>
      <c r="B67" s="39" t="s">
        <v>20</v>
      </c>
      <c r="C67" s="39" t="s">
        <v>13</v>
      </c>
      <c r="D67" s="39">
        <f t="shared" si="1"/>
        <v>1</v>
      </c>
      <c r="E67" s="39" t="s">
        <v>14</v>
      </c>
      <c r="F67" s="39" t="s">
        <v>107</v>
      </c>
      <c r="G67" s="39" t="s">
        <v>16</v>
      </c>
      <c r="H67" s="41">
        <v>45413</v>
      </c>
      <c r="I67" s="39" t="s">
        <v>108</v>
      </c>
      <c r="J67" s="39"/>
    </row>
    <row r="68" spans="1:10" ht="47.25" x14ac:dyDescent="0.25">
      <c r="A68" s="39">
        <v>20100029</v>
      </c>
      <c r="B68" s="39" t="s">
        <v>20</v>
      </c>
      <c r="C68" s="39" t="s">
        <v>13</v>
      </c>
      <c r="D68" s="39">
        <f t="shared" si="1"/>
        <v>1</v>
      </c>
      <c r="E68" s="39" t="s">
        <v>14</v>
      </c>
      <c r="F68" s="39" t="s">
        <v>109</v>
      </c>
      <c r="G68" s="39" t="s">
        <v>16</v>
      </c>
      <c r="H68" s="41">
        <v>45413</v>
      </c>
      <c r="I68" s="39" t="s">
        <v>110</v>
      </c>
      <c r="J68" s="39"/>
    </row>
    <row r="69" spans="1:10" ht="31.5" x14ac:dyDescent="0.25">
      <c r="A69" s="39">
        <v>22050066</v>
      </c>
      <c r="B69" s="39" t="s">
        <v>111</v>
      </c>
      <c r="C69" s="39" t="s">
        <v>112</v>
      </c>
      <c r="D69" s="39">
        <f t="shared" si="1"/>
        <v>1</v>
      </c>
      <c r="E69" s="39" t="s">
        <v>14</v>
      </c>
      <c r="F69" s="39" t="s">
        <v>113</v>
      </c>
      <c r="G69" s="39" t="s">
        <v>16</v>
      </c>
      <c r="H69" s="41">
        <v>45414</v>
      </c>
      <c r="I69" s="39" t="s">
        <v>114</v>
      </c>
      <c r="J69" s="39"/>
    </row>
    <row r="70" spans="1:10" ht="47.25" x14ac:dyDescent="0.25">
      <c r="A70" s="39">
        <v>23075291</v>
      </c>
      <c r="B70" s="39" t="s">
        <v>26</v>
      </c>
      <c r="C70" s="39" t="s">
        <v>13</v>
      </c>
      <c r="D70" s="39">
        <f t="shared" si="1"/>
        <v>1</v>
      </c>
      <c r="E70" s="39" t="s">
        <v>14</v>
      </c>
      <c r="F70" s="39" t="s">
        <v>115</v>
      </c>
      <c r="G70" s="39" t="s">
        <v>16</v>
      </c>
      <c r="H70" s="41">
        <v>45414</v>
      </c>
      <c r="I70" s="39" t="s">
        <v>116</v>
      </c>
      <c r="J70" s="39" t="s">
        <v>117</v>
      </c>
    </row>
    <row r="71" spans="1:10" ht="31.5" x14ac:dyDescent="0.25">
      <c r="A71" s="39">
        <v>23015008</v>
      </c>
      <c r="B71" s="39" t="s">
        <v>79</v>
      </c>
      <c r="C71" s="39" t="s">
        <v>80</v>
      </c>
      <c r="D71" s="39">
        <f t="shared" si="1"/>
        <v>1</v>
      </c>
      <c r="E71" s="39" t="s">
        <v>14</v>
      </c>
      <c r="F71" s="39" t="s">
        <v>118</v>
      </c>
      <c r="G71" s="39" t="s">
        <v>16</v>
      </c>
      <c r="H71" s="41">
        <v>45414</v>
      </c>
      <c r="I71" s="39" t="s">
        <v>119</v>
      </c>
      <c r="J71" s="39"/>
    </row>
    <row r="72" spans="1:10" ht="31.5" x14ac:dyDescent="0.25">
      <c r="A72" s="39">
        <v>23015064</v>
      </c>
      <c r="B72" s="39" t="s">
        <v>79</v>
      </c>
      <c r="C72" s="39" t="s">
        <v>80</v>
      </c>
      <c r="D72" s="39">
        <f t="shared" si="1"/>
        <v>1</v>
      </c>
      <c r="E72" s="39" t="s">
        <v>14</v>
      </c>
      <c r="F72" s="39" t="s">
        <v>120</v>
      </c>
      <c r="G72" s="39" t="s">
        <v>16</v>
      </c>
      <c r="H72" s="41">
        <v>45414</v>
      </c>
      <c r="I72" s="39" t="s">
        <v>121</v>
      </c>
      <c r="J72" s="39"/>
    </row>
    <row r="73" spans="1:10" ht="31.5" x14ac:dyDescent="0.25">
      <c r="A73" s="39">
        <v>21071010</v>
      </c>
      <c r="B73" s="39" t="s">
        <v>122</v>
      </c>
      <c r="C73" s="39" t="s">
        <v>123</v>
      </c>
      <c r="D73" s="39">
        <f t="shared" si="1"/>
        <v>1</v>
      </c>
      <c r="E73" s="39" t="s">
        <v>14</v>
      </c>
      <c r="F73" s="39" t="s">
        <v>124</v>
      </c>
      <c r="G73" s="39" t="s">
        <v>16</v>
      </c>
      <c r="H73" s="41">
        <v>45414</v>
      </c>
      <c r="I73" s="39" t="s">
        <v>125</v>
      </c>
      <c r="J73" s="39" t="s">
        <v>126</v>
      </c>
    </row>
    <row r="74" spans="1:10" ht="31.5" x14ac:dyDescent="0.25">
      <c r="A74" s="39">
        <v>21071009</v>
      </c>
      <c r="B74" s="39" t="s">
        <v>122</v>
      </c>
      <c r="C74" s="39" t="s">
        <v>123</v>
      </c>
      <c r="D74" s="39">
        <f t="shared" si="1"/>
        <v>1</v>
      </c>
      <c r="E74" s="39" t="s">
        <v>14</v>
      </c>
      <c r="F74" s="39" t="s">
        <v>120</v>
      </c>
      <c r="G74" s="39" t="s">
        <v>16</v>
      </c>
      <c r="H74" s="41">
        <v>45414</v>
      </c>
      <c r="I74" s="39" t="s">
        <v>127</v>
      </c>
      <c r="J74" s="39" t="s">
        <v>126</v>
      </c>
    </row>
    <row r="75" spans="1:10" ht="31.5" x14ac:dyDescent="0.25">
      <c r="A75" s="39">
        <v>21071008</v>
      </c>
      <c r="B75" s="39" t="s">
        <v>122</v>
      </c>
      <c r="C75" s="39" t="s">
        <v>123</v>
      </c>
      <c r="D75" s="39">
        <f t="shared" si="1"/>
        <v>1</v>
      </c>
      <c r="E75" s="39" t="s">
        <v>14</v>
      </c>
      <c r="F75" s="39" t="s">
        <v>128</v>
      </c>
      <c r="G75" s="39" t="s">
        <v>16</v>
      </c>
      <c r="H75" s="41">
        <v>45414</v>
      </c>
      <c r="I75" s="39" t="s">
        <v>127</v>
      </c>
      <c r="J75" s="39" t="s">
        <v>126</v>
      </c>
    </row>
    <row r="76" spans="1:10" ht="31.5" x14ac:dyDescent="0.25">
      <c r="A76" s="39">
        <v>21071007</v>
      </c>
      <c r="B76" s="39" t="s">
        <v>122</v>
      </c>
      <c r="C76" s="39" t="s">
        <v>123</v>
      </c>
      <c r="D76" s="39">
        <f t="shared" si="1"/>
        <v>1</v>
      </c>
      <c r="E76" s="39" t="s">
        <v>14</v>
      </c>
      <c r="F76" s="39" t="s">
        <v>128</v>
      </c>
      <c r="G76" s="39" t="s">
        <v>16</v>
      </c>
      <c r="H76" s="41">
        <v>45414</v>
      </c>
      <c r="I76" s="39" t="s">
        <v>127</v>
      </c>
      <c r="J76" s="39" t="s">
        <v>126</v>
      </c>
    </row>
    <row r="77" spans="1:10" ht="31.5" x14ac:dyDescent="0.25">
      <c r="A77" s="39">
        <v>23045212</v>
      </c>
      <c r="B77" s="39" t="s">
        <v>79</v>
      </c>
      <c r="C77" s="39" t="s">
        <v>80</v>
      </c>
      <c r="D77" s="39">
        <f t="shared" si="1"/>
        <v>1</v>
      </c>
      <c r="E77" s="39" t="s">
        <v>14</v>
      </c>
      <c r="F77" s="39" t="s">
        <v>81</v>
      </c>
      <c r="G77" s="39" t="s">
        <v>16</v>
      </c>
      <c r="H77" s="41">
        <v>45414</v>
      </c>
      <c r="I77" s="39" t="s">
        <v>129</v>
      </c>
      <c r="J77" s="39" t="s">
        <v>130</v>
      </c>
    </row>
    <row r="78" spans="1:10" ht="31.5" x14ac:dyDescent="0.25">
      <c r="A78" s="39">
        <v>23051658</v>
      </c>
      <c r="B78" s="39" t="s">
        <v>79</v>
      </c>
      <c r="C78" s="39" t="s">
        <v>80</v>
      </c>
      <c r="D78" s="39">
        <f t="shared" si="1"/>
        <v>1</v>
      </c>
      <c r="E78" s="39" t="s">
        <v>14</v>
      </c>
      <c r="F78" s="39" t="s">
        <v>131</v>
      </c>
      <c r="G78" s="39" t="s">
        <v>16</v>
      </c>
      <c r="H78" s="41">
        <v>45481</v>
      </c>
      <c r="I78" s="39" t="s">
        <v>132</v>
      </c>
      <c r="J78" s="39" t="s">
        <v>130</v>
      </c>
    </row>
    <row r="79" spans="1:10" ht="47.25" x14ac:dyDescent="0.25">
      <c r="A79" s="39">
        <v>18120060</v>
      </c>
      <c r="B79" s="39" t="s">
        <v>133</v>
      </c>
      <c r="C79" s="39" t="s">
        <v>134</v>
      </c>
      <c r="D79" s="39">
        <f t="shared" si="1"/>
        <v>1</v>
      </c>
      <c r="E79" s="39" t="s">
        <v>14</v>
      </c>
      <c r="F79" s="39" t="s">
        <v>135</v>
      </c>
      <c r="G79" s="39" t="s">
        <v>136</v>
      </c>
      <c r="H79" s="41">
        <v>45415</v>
      </c>
      <c r="I79" s="39" t="s">
        <v>137</v>
      </c>
      <c r="J79" s="39" t="s">
        <v>138</v>
      </c>
    </row>
    <row r="80" spans="1:10" ht="31.5" x14ac:dyDescent="0.25">
      <c r="A80" s="39">
        <v>18050005</v>
      </c>
      <c r="B80" s="39" t="s">
        <v>111</v>
      </c>
      <c r="C80" s="39" t="s">
        <v>112</v>
      </c>
      <c r="D80" s="39">
        <f t="shared" si="1"/>
        <v>1</v>
      </c>
      <c r="E80" s="39" t="s">
        <v>14</v>
      </c>
      <c r="F80" s="39" t="s">
        <v>139</v>
      </c>
      <c r="G80" s="39" t="s">
        <v>16</v>
      </c>
      <c r="H80" s="41">
        <v>45425</v>
      </c>
      <c r="I80" s="39" t="s">
        <v>140</v>
      </c>
      <c r="J80" s="39" t="s">
        <v>141</v>
      </c>
    </row>
    <row r="81" spans="1:10" ht="15.75" x14ac:dyDescent="0.25">
      <c r="A81" s="39">
        <v>22095184</v>
      </c>
      <c r="B81" s="39" t="s">
        <v>12</v>
      </c>
      <c r="C81" s="39" t="s">
        <v>13</v>
      </c>
      <c r="D81" s="39">
        <f t="shared" si="1"/>
        <v>2</v>
      </c>
      <c r="E81" s="39" t="s">
        <v>14</v>
      </c>
      <c r="F81" s="39" t="s">
        <v>142</v>
      </c>
      <c r="G81" s="39" t="s">
        <v>16</v>
      </c>
      <c r="H81" s="41">
        <v>45427</v>
      </c>
      <c r="I81" s="39" t="s">
        <v>143</v>
      </c>
      <c r="J81" s="39"/>
    </row>
    <row r="82" spans="1:10" ht="15.75" x14ac:dyDescent="0.25">
      <c r="A82" s="39">
        <v>23025343</v>
      </c>
      <c r="B82" s="39" t="s">
        <v>12</v>
      </c>
      <c r="C82" s="39" t="s">
        <v>13</v>
      </c>
      <c r="D82" s="39">
        <f t="shared" si="1"/>
        <v>1</v>
      </c>
      <c r="E82" s="39" t="s">
        <v>14</v>
      </c>
      <c r="F82" s="39" t="s">
        <v>144</v>
      </c>
      <c r="G82" s="39" t="s">
        <v>16</v>
      </c>
      <c r="H82" s="41">
        <v>45428</v>
      </c>
      <c r="I82" s="39" t="s">
        <v>145</v>
      </c>
      <c r="J82" s="39"/>
    </row>
    <row r="83" spans="1:10" ht="31.5" x14ac:dyDescent="0.25">
      <c r="A83" s="39">
        <v>24045364</v>
      </c>
      <c r="B83" s="39" t="s">
        <v>26</v>
      </c>
      <c r="C83" s="39" t="s">
        <v>13</v>
      </c>
      <c r="D83" s="39">
        <f t="shared" si="1"/>
        <v>1</v>
      </c>
      <c r="E83" s="39" t="s">
        <v>14</v>
      </c>
      <c r="F83" s="39" t="s">
        <v>15</v>
      </c>
      <c r="G83" s="39" t="s">
        <v>16</v>
      </c>
      <c r="H83" s="41">
        <v>45428</v>
      </c>
      <c r="I83" s="39" t="s">
        <v>146</v>
      </c>
      <c r="J83" s="39"/>
    </row>
    <row r="84" spans="1:10" ht="15.75" x14ac:dyDescent="0.25">
      <c r="A84" s="39">
        <v>24023404</v>
      </c>
      <c r="B84" s="39" t="s">
        <v>26</v>
      </c>
      <c r="C84" s="39" t="s">
        <v>13</v>
      </c>
      <c r="D84" s="39">
        <f t="shared" si="1"/>
        <v>1</v>
      </c>
      <c r="E84" s="39" t="s">
        <v>14</v>
      </c>
      <c r="F84" s="39" t="s">
        <v>15</v>
      </c>
      <c r="G84" s="39" t="s">
        <v>16</v>
      </c>
      <c r="H84" s="41">
        <v>45428</v>
      </c>
      <c r="I84" s="39" t="s">
        <v>98</v>
      </c>
      <c r="J84" s="39"/>
    </row>
    <row r="85" spans="1:10" ht="31.5" x14ac:dyDescent="0.25">
      <c r="A85" s="39">
        <v>23125168</v>
      </c>
      <c r="B85" s="39" t="s">
        <v>133</v>
      </c>
      <c r="C85" s="39" t="s">
        <v>134</v>
      </c>
      <c r="D85" s="39">
        <f t="shared" si="1"/>
        <v>1</v>
      </c>
      <c r="E85" s="39" t="s">
        <v>14</v>
      </c>
      <c r="F85" s="39" t="s">
        <v>147</v>
      </c>
      <c r="G85" s="39" t="s">
        <v>136</v>
      </c>
      <c r="H85" s="41">
        <v>45427</v>
      </c>
      <c r="I85" s="39" t="s">
        <v>148</v>
      </c>
      <c r="J85" s="39"/>
    </row>
    <row r="86" spans="1:10" ht="15.75" x14ac:dyDescent="0.25">
      <c r="A86" s="39">
        <v>20091590</v>
      </c>
      <c r="B86" s="39" t="s">
        <v>133</v>
      </c>
      <c r="C86" s="39" t="s">
        <v>134</v>
      </c>
      <c r="D86" s="39">
        <f t="shared" si="1"/>
        <v>1</v>
      </c>
      <c r="E86" s="39" t="s">
        <v>14</v>
      </c>
      <c r="F86" s="39" t="s">
        <v>149</v>
      </c>
      <c r="G86" s="39" t="s">
        <v>136</v>
      </c>
      <c r="H86" s="41">
        <v>45427</v>
      </c>
      <c r="I86" s="39" t="s">
        <v>150</v>
      </c>
      <c r="J86" s="39"/>
    </row>
    <row r="87" spans="1:10" ht="15.75" x14ac:dyDescent="0.25">
      <c r="A87" s="39">
        <v>23045033</v>
      </c>
      <c r="B87" s="39" t="s">
        <v>133</v>
      </c>
      <c r="C87" s="39" t="s">
        <v>134</v>
      </c>
      <c r="D87" s="39">
        <f t="shared" si="1"/>
        <v>1</v>
      </c>
      <c r="E87" s="39" t="s">
        <v>14</v>
      </c>
      <c r="F87" s="39" t="s">
        <v>151</v>
      </c>
      <c r="G87" s="39" t="s">
        <v>136</v>
      </c>
      <c r="H87" s="41">
        <v>45427</v>
      </c>
      <c r="I87" s="39" t="s">
        <v>152</v>
      </c>
      <c r="J87" s="39"/>
    </row>
    <row r="88" spans="1:10" ht="31.5" x14ac:dyDescent="0.25">
      <c r="A88" s="39">
        <v>16110114</v>
      </c>
      <c r="B88" s="39" t="s">
        <v>133</v>
      </c>
      <c r="C88" s="39" t="s">
        <v>134</v>
      </c>
      <c r="D88" s="39">
        <f t="shared" si="1"/>
        <v>1</v>
      </c>
      <c r="E88" s="39" t="s">
        <v>14</v>
      </c>
      <c r="F88" s="39" t="s">
        <v>153</v>
      </c>
      <c r="G88" s="39" t="s">
        <v>136</v>
      </c>
      <c r="H88" s="41">
        <v>45427</v>
      </c>
      <c r="I88" s="39" t="s">
        <v>154</v>
      </c>
      <c r="J88" s="39"/>
    </row>
    <row r="89" spans="1:10" ht="47.25" x14ac:dyDescent="0.25">
      <c r="A89" s="39" t="s">
        <v>155</v>
      </c>
      <c r="B89" s="39" t="s">
        <v>133</v>
      </c>
      <c r="C89" s="39" t="s">
        <v>134</v>
      </c>
      <c r="D89" s="39">
        <f t="shared" si="1"/>
        <v>1</v>
      </c>
      <c r="E89" s="39" t="s">
        <v>14</v>
      </c>
      <c r="F89" s="39" t="s">
        <v>156</v>
      </c>
      <c r="G89" s="39" t="s">
        <v>136</v>
      </c>
      <c r="H89" s="41">
        <v>45427</v>
      </c>
      <c r="I89" s="39" t="s">
        <v>157</v>
      </c>
      <c r="J89" s="39"/>
    </row>
    <row r="90" spans="1:10" ht="31.5" x14ac:dyDescent="0.25">
      <c r="A90" s="39">
        <v>24055654</v>
      </c>
      <c r="B90" s="39" t="s">
        <v>26</v>
      </c>
      <c r="C90" s="39" t="s">
        <v>13</v>
      </c>
      <c r="D90" s="39">
        <f t="shared" si="1"/>
        <v>1</v>
      </c>
      <c r="E90" s="39" t="s">
        <v>51</v>
      </c>
      <c r="F90" s="39" t="s">
        <v>158</v>
      </c>
      <c r="G90" s="39" t="s">
        <v>16</v>
      </c>
      <c r="H90" s="41">
        <v>45432</v>
      </c>
      <c r="I90" s="39" t="s">
        <v>159</v>
      </c>
      <c r="J90" s="39"/>
    </row>
    <row r="91" spans="1:10" ht="31.5" x14ac:dyDescent="0.25">
      <c r="A91" s="39">
        <v>24055683</v>
      </c>
      <c r="B91" s="39" t="s">
        <v>26</v>
      </c>
      <c r="C91" s="39" t="s">
        <v>13</v>
      </c>
      <c r="D91" s="39">
        <f t="shared" si="1"/>
        <v>1</v>
      </c>
      <c r="E91" s="39" t="s">
        <v>51</v>
      </c>
      <c r="F91" s="39" t="s">
        <v>158</v>
      </c>
      <c r="G91" s="39" t="s">
        <v>16</v>
      </c>
      <c r="H91" s="41">
        <v>45432</v>
      </c>
      <c r="I91" s="39" t="s">
        <v>159</v>
      </c>
      <c r="J91" s="39"/>
    </row>
    <row r="92" spans="1:10" ht="15.75" x14ac:dyDescent="0.25">
      <c r="A92" s="39">
        <v>24055617</v>
      </c>
      <c r="B92" s="39" t="s">
        <v>26</v>
      </c>
      <c r="C92" s="39" t="s">
        <v>13</v>
      </c>
      <c r="D92" s="39">
        <f t="shared" si="1"/>
        <v>1</v>
      </c>
      <c r="E92" s="39" t="s">
        <v>51</v>
      </c>
      <c r="F92" s="39" t="s">
        <v>160</v>
      </c>
      <c r="G92" s="39" t="s">
        <v>16</v>
      </c>
      <c r="H92" s="41">
        <v>45464</v>
      </c>
      <c r="I92" s="39" t="s">
        <v>161</v>
      </c>
      <c r="J92" s="39"/>
    </row>
    <row r="93" spans="1:10" ht="15.75" x14ac:dyDescent="0.25">
      <c r="A93" s="39">
        <v>24055850</v>
      </c>
      <c r="B93" s="39" t="s">
        <v>26</v>
      </c>
      <c r="C93" s="39" t="s">
        <v>13</v>
      </c>
      <c r="D93" s="39">
        <f t="shared" si="1"/>
        <v>1</v>
      </c>
      <c r="E93" s="39" t="s">
        <v>51</v>
      </c>
      <c r="F93" s="39" t="s">
        <v>162</v>
      </c>
      <c r="G93" s="39" t="s">
        <v>16</v>
      </c>
      <c r="H93" s="41">
        <v>45464</v>
      </c>
      <c r="I93" s="39" t="s">
        <v>163</v>
      </c>
      <c r="J93" s="39"/>
    </row>
    <row r="94" spans="1:10" ht="31.5" x14ac:dyDescent="0.25">
      <c r="A94" s="39">
        <v>24055773</v>
      </c>
      <c r="B94" s="39" t="s">
        <v>26</v>
      </c>
      <c r="C94" s="39" t="s">
        <v>13</v>
      </c>
      <c r="D94" s="39">
        <f t="shared" si="1"/>
        <v>1</v>
      </c>
      <c r="E94" s="39" t="s">
        <v>51</v>
      </c>
      <c r="F94" s="39" t="s">
        <v>164</v>
      </c>
      <c r="G94" s="39" t="s">
        <v>16</v>
      </c>
      <c r="H94" s="41">
        <v>45464</v>
      </c>
      <c r="I94" s="39" t="s">
        <v>165</v>
      </c>
      <c r="J94" s="39"/>
    </row>
    <row r="95" spans="1:10" ht="15.75" x14ac:dyDescent="0.25">
      <c r="A95" s="39">
        <v>24055719</v>
      </c>
      <c r="B95" s="39" t="s">
        <v>26</v>
      </c>
      <c r="C95" s="39" t="s">
        <v>13</v>
      </c>
      <c r="D95" s="39">
        <f t="shared" si="1"/>
        <v>1</v>
      </c>
      <c r="E95" s="39" t="s">
        <v>51</v>
      </c>
      <c r="F95" s="39" t="s">
        <v>56</v>
      </c>
      <c r="G95" s="39" t="s">
        <v>16</v>
      </c>
      <c r="H95" s="41">
        <v>45464</v>
      </c>
      <c r="I95" s="39" t="s">
        <v>166</v>
      </c>
      <c r="J95" s="39"/>
    </row>
    <row r="96" spans="1:10" ht="15.75" x14ac:dyDescent="0.25">
      <c r="A96" s="39">
        <v>24020682</v>
      </c>
      <c r="B96" s="39" t="s">
        <v>26</v>
      </c>
      <c r="C96" s="39" t="s">
        <v>13</v>
      </c>
      <c r="D96" s="39">
        <f t="shared" si="1"/>
        <v>1</v>
      </c>
      <c r="E96" s="39" t="s">
        <v>14</v>
      </c>
      <c r="F96" s="39" t="s">
        <v>142</v>
      </c>
      <c r="G96" s="39" t="s">
        <v>16</v>
      </c>
      <c r="H96" s="41">
        <v>45464</v>
      </c>
      <c r="I96" s="39" t="s">
        <v>167</v>
      </c>
      <c r="J96" s="39"/>
    </row>
    <row r="97" spans="1:10" ht="31.5" x14ac:dyDescent="0.25">
      <c r="A97" s="39">
        <v>24045837</v>
      </c>
      <c r="B97" s="39" t="s">
        <v>26</v>
      </c>
      <c r="C97" s="39" t="s">
        <v>13</v>
      </c>
      <c r="D97" s="39">
        <f t="shared" si="1"/>
        <v>1</v>
      </c>
      <c r="E97" s="39" t="s">
        <v>14</v>
      </c>
      <c r="F97" s="39" t="s">
        <v>168</v>
      </c>
      <c r="G97" s="39" t="s">
        <v>16</v>
      </c>
      <c r="H97" s="41">
        <v>45464</v>
      </c>
      <c r="I97" s="39" t="s">
        <v>169</v>
      </c>
      <c r="J97" s="39"/>
    </row>
    <row r="98" spans="1:10" ht="15.75" x14ac:dyDescent="0.25">
      <c r="A98" s="39">
        <v>24045926</v>
      </c>
      <c r="B98" s="39" t="s">
        <v>26</v>
      </c>
      <c r="C98" s="39" t="s">
        <v>13</v>
      </c>
      <c r="D98" s="39">
        <f t="shared" si="1"/>
        <v>1</v>
      </c>
      <c r="E98" s="39" t="s">
        <v>14</v>
      </c>
      <c r="F98" s="39" t="s">
        <v>99</v>
      </c>
      <c r="G98" s="39" t="s">
        <v>16</v>
      </c>
      <c r="H98" s="41">
        <v>45464</v>
      </c>
      <c r="I98" s="39" t="s">
        <v>170</v>
      </c>
      <c r="J98" s="39"/>
    </row>
    <row r="99" spans="1:10" ht="31.5" x14ac:dyDescent="0.25">
      <c r="A99" s="39">
        <v>24045886</v>
      </c>
      <c r="B99" s="39" t="s">
        <v>26</v>
      </c>
      <c r="C99" s="39" t="s">
        <v>13</v>
      </c>
      <c r="D99" s="39">
        <f t="shared" si="1"/>
        <v>1</v>
      </c>
      <c r="E99" s="39" t="s">
        <v>14</v>
      </c>
      <c r="F99" s="39" t="s">
        <v>171</v>
      </c>
      <c r="G99" s="39" t="s">
        <v>16</v>
      </c>
      <c r="H99" s="41">
        <v>45464</v>
      </c>
      <c r="I99" s="39" t="s">
        <v>172</v>
      </c>
      <c r="J99" s="39"/>
    </row>
    <row r="100" spans="1:10" ht="31.5" x14ac:dyDescent="0.25">
      <c r="A100" s="39">
        <v>22030095</v>
      </c>
      <c r="B100" s="39" t="s">
        <v>20</v>
      </c>
      <c r="C100" s="39" t="s">
        <v>13</v>
      </c>
      <c r="D100" s="39">
        <f t="shared" si="1"/>
        <v>1</v>
      </c>
      <c r="E100" s="39" t="s">
        <v>14</v>
      </c>
      <c r="F100" s="39" t="s">
        <v>173</v>
      </c>
      <c r="G100" s="39" t="s">
        <v>16</v>
      </c>
      <c r="H100" s="41">
        <v>45468</v>
      </c>
      <c r="I100" s="39" t="s">
        <v>174</v>
      </c>
      <c r="J100" s="39"/>
    </row>
    <row r="101" spans="1:10" ht="15.75" x14ac:dyDescent="0.25">
      <c r="A101" s="39">
        <v>21010991</v>
      </c>
      <c r="B101" s="39" t="s">
        <v>20</v>
      </c>
      <c r="C101" s="39" t="s">
        <v>13</v>
      </c>
      <c r="D101" s="39">
        <f t="shared" si="1"/>
        <v>1</v>
      </c>
      <c r="E101" s="39" t="s">
        <v>14</v>
      </c>
      <c r="F101" s="39" t="s">
        <v>175</v>
      </c>
      <c r="G101" s="39" t="s">
        <v>16</v>
      </c>
      <c r="H101" s="41">
        <v>45468</v>
      </c>
      <c r="I101" s="39" t="s">
        <v>176</v>
      </c>
      <c r="J101" s="39"/>
    </row>
    <row r="102" spans="1:10" ht="31.5" x14ac:dyDescent="0.25">
      <c r="A102" s="39">
        <v>21040087</v>
      </c>
      <c r="B102" s="39" t="s">
        <v>177</v>
      </c>
      <c r="C102" s="39" t="s">
        <v>13</v>
      </c>
      <c r="D102" s="39">
        <f t="shared" si="1"/>
        <v>1</v>
      </c>
      <c r="E102" s="39" t="s">
        <v>14</v>
      </c>
      <c r="F102" s="39" t="s">
        <v>178</v>
      </c>
      <c r="G102" s="39" t="s">
        <v>16</v>
      </c>
      <c r="H102" s="41">
        <v>45468</v>
      </c>
      <c r="I102" s="39" t="s">
        <v>179</v>
      </c>
      <c r="J102" s="39"/>
    </row>
    <row r="103" spans="1:10" ht="31.5" x14ac:dyDescent="0.25">
      <c r="A103" s="39">
        <v>22095246</v>
      </c>
      <c r="B103" s="39" t="s">
        <v>12</v>
      </c>
      <c r="C103" s="39" t="s">
        <v>13</v>
      </c>
      <c r="D103" s="39">
        <f t="shared" si="1"/>
        <v>1</v>
      </c>
      <c r="E103" s="39" t="s">
        <v>14</v>
      </c>
      <c r="F103" s="39" t="s">
        <v>178</v>
      </c>
      <c r="G103" s="39" t="s">
        <v>16</v>
      </c>
      <c r="H103" s="41">
        <v>45468</v>
      </c>
      <c r="I103" s="39" t="s">
        <v>179</v>
      </c>
      <c r="J103" s="39"/>
    </row>
    <row r="104" spans="1:10" ht="15.75" x14ac:dyDescent="0.25">
      <c r="A104" s="39">
        <v>21011006</v>
      </c>
      <c r="B104" s="39" t="s">
        <v>20</v>
      </c>
      <c r="C104" s="39" t="s">
        <v>13</v>
      </c>
      <c r="D104" s="39">
        <f t="shared" si="1"/>
        <v>2</v>
      </c>
      <c r="E104" s="39" t="s">
        <v>180</v>
      </c>
      <c r="F104" s="39" t="s">
        <v>181</v>
      </c>
      <c r="G104" s="39" t="s">
        <v>16</v>
      </c>
      <c r="H104" s="41">
        <v>45468</v>
      </c>
      <c r="I104" s="39" t="s">
        <v>182</v>
      </c>
      <c r="J104" s="39"/>
    </row>
    <row r="105" spans="1:10" ht="15.75" x14ac:dyDescent="0.25">
      <c r="A105" s="39">
        <v>20100044</v>
      </c>
      <c r="B105" s="39" t="s">
        <v>20</v>
      </c>
      <c r="C105" s="39" t="s">
        <v>13</v>
      </c>
      <c r="D105" s="39">
        <f t="shared" si="1"/>
        <v>1</v>
      </c>
      <c r="E105" s="39" t="s">
        <v>14</v>
      </c>
      <c r="F105" s="39" t="s">
        <v>183</v>
      </c>
      <c r="G105" s="39" t="s">
        <v>16</v>
      </c>
      <c r="H105" s="41">
        <v>45469</v>
      </c>
      <c r="I105" s="39" t="s">
        <v>184</v>
      </c>
      <c r="J105" s="39"/>
    </row>
    <row r="106" spans="1:10" ht="31.5" x14ac:dyDescent="0.25">
      <c r="A106" s="39">
        <v>24065253</v>
      </c>
      <c r="B106" s="39" t="s">
        <v>185</v>
      </c>
      <c r="C106" s="39" t="s">
        <v>13</v>
      </c>
      <c r="D106" s="39">
        <f t="shared" si="1"/>
        <v>1</v>
      </c>
      <c r="E106" s="39" t="s">
        <v>51</v>
      </c>
      <c r="F106" s="39" t="s">
        <v>162</v>
      </c>
      <c r="G106" s="39" t="s">
        <v>16</v>
      </c>
      <c r="H106" s="41">
        <v>45469</v>
      </c>
      <c r="I106" s="39" t="s">
        <v>186</v>
      </c>
      <c r="J106" s="39"/>
    </row>
    <row r="107" spans="1:10" ht="15.75" x14ac:dyDescent="0.25">
      <c r="A107" s="39">
        <v>24020617</v>
      </c>
      <c r="B107" s="39" t="s">
        <v>26</v>
      </c>
      <c r="C107" s="39" t="s">
        <v>13</v>
      </c>
      <c r="D107" s="39">
        <f t="shared" si="1"/>
        <v>2</v>
      </c>
      <c r="E107" s="39" t="s">
        <v>51</v>
      </c>
      <c r="F107" s="39" t="s">
        <v>187</v>
      </c>
      <c r="G107" s="39" t="s">
        <v>16</v>
      </c>
      <c r="H107" s="41">
        <v>45469</v>
      </c>
      <c r="I107" s="39" t="s">
        <v>188</v>
      </c>
      <c r="J107" s="39"/>
    </row>
    <row r="108" spans="1:10" ht="31.5" x14ac:dyDescent="0.25">
      <c r="A108" s="39">
        <v>24065268</v>
      </c>
      <c r="B108" s="39" t="s">
        <v>185</v>
      </c>
      <c r="C108" s="39" t="s">
        <v>13</v>
      </c>
      <c r="D108" s="39">
        <f t="shared" si="1"/>
        <v>2</v>
      </c>
      <c r="E108" s="39" t="s">
        <v>51</v>
      </c>
      <c r="F108" s="39" t="s">
        <v>189</v>
      </c>
      <c r="G108" s="39" t="s">
        <v>16</v>
      </c>
      <c r="H108" s="41">
        <v>45469</v>
      </c>
      <c r="I108" s="39" t="s">
        <v>190</v>
      </c>
      <c r="J108" s="39"/>
    </row>
    <row r="109" spans="1:10" ht="15.75" x14ac:dyDescent="0.25">
      <c r="A109" s="39">
        <v>24065011</v>
      </c>
      <c r="B109" s="39" t="s">
        <v>185</v>
      </c>
      <c r="C109" s="39" t="s">
        <v>13</v>
      </c>
      <c r="D109" s="39">
        <f t="shared" si="1"/>
        <v>1</v>
      </c>
      <c r="E109" s="39" t="s">
        <v>51</v>
      </c>
      <c r="F109" s="39" t="s">
        <v>61</v>
      </c>
      <c r="G109" s="39" t="s">
        <v>16</v>
      </c>
      <c r="H109" s="41">
        <v>45469</v>
      </c>
      <c r="I109" s="39" t="s">
        <v>191</v>
      </c>
      <c r="J109" s="39"/>
    </row>
    <row r="110" spans="1:10" ht="47.25" x14ac:dyDescent="0.25">
      <c r="A110" s="39">
        <v>24065276</v>
      </c>
      <c r="B110" s="39" t="s">
        <v>185</v>
      </c>
      <c r="C110" s="39" t="s">
        <v>13</v>
      </c>
      <c r="D110" s="39">
        <f t="shared" si="1"/>
        <v>1</v>
      </c>
      <c r="E110" s="39" t="s">
        <v>51</v>
      </c>
      <c r="F110" s="39" t="s">
        <v>192</v>
      </c>
      <c r="G110" s="39" t="s">
        <v>193</v>
      </c>
      <c r="H110" s="41">
        <v>45471</v>
      </c>
      <c r="I110" s="39" t="s">
        <v>194</v>
      </c>
      <c r="J110" s="39" t="s">
        <v>195</v>
      </c>
    </row>
    <row r="111" spans="1:10" ht="47.25" x14ac:dyDescent="0.25">
      <c r="A111" s="39">
        <v>24055788</v>
      </c>
      <c r="B111" s="39" t="s">
        <v>26</v>
      </c>
      <c r="C111" s="39" t="s">
        <v>13</v>
      </c>
      <c r="D111" s="39">
        <f t="shared" si="1"/>
        <v>1</v>
      </c>
      <c r="E111" s="39" t="s">
        <v>51</v>
      </c>
      <c r="F111" s="39" t="s">
        <v>192</v>
      </c>
      <c r="G111" s="39" t="s">
        <v>193</v>
      </c>
      <c r="H111" s="41">
        <v>45471</v>
      </c>
      <c r="I111" s="39" t="s">
        <v>194</v>
      </c>
      <c r="J111" s="39" t="s">
        <v>195</v>
      </c>
    </row>
    <row r="112" spans="1:10" ht="31.5" x14ac:dyDescent="0.25">
      <c r="A112" s="39">
        <v>23115033</v>
      </c>
      <c r="B112" s="39" t="s">
        <v>79</v>
      </c>
      <c r="C112" s="39" t="s">
        <v>80</v>
      </c>
      <c r="D112" s="39">
        <f t="shared" si="1"/>
        <v>1</v>
      </c>
      <c r="E112" s="39" t="s">
        <v>14</v>
      </c>
      <c r="F112" s="39" t="s">
        <v>196</v>
      </c>
      <c r="G112" s="39" t="s">
        <v>16</v>
      </c>
      <c r="H112" s="41">
        <v>45481</v>
      </c>
      <c r="I112" s="39" t="s">
        <v>197</v>
      </c>
      <c r="J112" s="39"/>
    </row>
    <row r="113" spans="1:10" ht="31.5" x14ac:dyDescent="0.25">
      <c r="A113" s="39">
        <v>24075878</v>
      </c>
      <c r="B113" s="39" t="s">
        <v>185</v>
      </c>
      <c r="C113" s="39" t="s">
        <v>13</v>
      </c>
      <c r="D113" s="39">
        <f t="shared" si="1"/>
        <v>1</v>
      </c>
      <c r="E113" s="39" t="s">
        <v>51</v>
      </c>
      <c r="F113" s="39" t="s">
        <v>198</v>
      </c>
      <c r="G113" s="39" t="s">
        <v>16</v>
      </c>
      <c r="H113" s="41">
        <v>45488</v>
      </c>
      <c r="I113" s="39" t="s">
        <v>199</v>
      </c>
      <c r="J113" s="39"/>
    </row>
    <row r="114" spans="1:10" ht="15.75" x14ac:dyDescent="0.25">
      <c r="A114" s="39">
        <v>24075845</v>
      </c>
      <c r="B114" s="39" t="s">
        <v>185</v>
      </c>
      <c r="C114" s="39" t="s">
        <v>13</v>
      </c>
      <c r="D114" s="39">
        <f t="shared" si="1"/>
        <v>1</v>
      </c>
      <c r="E114" s="39" t="s">
        <v>51</v>
      </c>
      <c r="F114" s="39" t="s">
        <v>198</v>
      </c>
      <c r="G114" s="39" t="s">
        <v>16</v>
      </c>
      <c r="H114" s="41">
        <v>45488</v>
      </c>
      <c r="I114" s="39" t="s">
        <v>200</v>
      </c>
      <c r="J114" s="39"/>
    </row>
    <row r="115" spans="1:10" ht="15.75" x14ac:dyDescent="0.25">
      <c r="A115" s="39">
        <v>24075077</v>
      </c>
      <c r="B115" s="39" t="s">
        <v>185</v>
      </c>
      <c r="C115" s="39" t="s">
        <v>13</v>
      </c>
      <c r="D115" s="39">
        <f t="shared" si="1"/>
        <v>1</v>
      </c>
      <c r="E115" s="39" t="s">
        <v>51</v>
      </c>
      <c r="F115" s="39" t="s">
        <v>162</v>
      </c>
      <c r="G115" s="39" t="s">
        <v>16</v>
      </c>
      <c r="H115" s="41">
        <v>45488</v>
      </c>
      <c r="I115" s="39" t="s">
        <v>201</v>
      </c>
      <c r="J115" s="39"/>
    </row>
    <row r="116" spans="1:10" ht="15.75" x14ac:dyDescent="0.25">
      <c r="A116" s="39">
        <v>24075889</v>
      </c>
      <c r="B116" s="39" t="s">
        <v>185</v>
      </c>
      <c r="C116" s="39" t="s">
        <v>13</v>
      </c>
      <c r="D116" s="39">
        <f t="shared" si="1"/>
        <v>1</v>
      </c>
      <c r="E116" s="39" t="s">
        <v>51</v>
      </c>
      <c r="F116" s="39" t="s">
        <v>29</v>
      </c>
      <c r="G116" s="39" t="s">
        <v>16</v>
      </c>
      <c r="H116" s="41">
        <v>45488</v>
      </c>
      <c r="I116" s="39" t="s">
        <v>202</v>
      </c>
      <c r="J116" s="39"/>
    </row>
    <row r="117" spans="1:10" ht="15.75" x14ac:dyDescent="0.25">
      <c r="A117" s="39">
        <v>24075810</v>
      </c>
      <c r="B117" s="39" t="s">
        <v>185</v>
      </c>
      <c r="C117" s="39" t="s">
        <v>13</v>
      </c>
      <c r="D117" s="39">
        <f t="shared" si="1"/>
        <v>1</v>
      </c>
      <c r="E117" s="39" t="s">
        <v>51</v>
      </c>
      <c r="F117" s="39" t="s">
        <v>15</v>
      </c>
      <c r="G117" s="39" t="s">
        <v>16</v>
      </c>
      <c r="H117" s="41">
        <v>45488</v>
      </c>
      <c r="I117" s="39" t="s">
        <v>203</v>
      </c>
      <c r="J117" s="39"/>
    </row>
    <row r="118" spans="1:10" ht="31.5" x14ac:dyDescent="0.25">
      <c r="A118" s="39">
        <v>24075800</v>
      </c>
      <c r="B118" s="39" t="s">
        <v>185</v>
      </c>
      <c r="C118" s="39" t="s">
        <v>13</v>
      </c>
      <c r="D118" s="39">
        <f t="shared" si="1"/>
        <v>1</v>
      </c>
      <c r="E118" s="39" t="s">
        <v>51</v>
      </c>
      <c r="F118" s="39" t="s">
        <v>204</v>
      </c>
      <c r="G118" s="39" t="s">
        <v>16</v>
      </c>
      <c r="H118" s="41">
        <v>45488</v>
      </c>
      <c r="I118" s="39" t="s">
        <v>205</v>
      </c>
      <c r="J118" s="39"/>
    </row>
    <row r="119" spans="1:10" ht="15.75" x14ac:dyDescent="0.25">
      <c r="A119" s="39">
        <v>24075719</v>
      </c>
      <c r="B119" s="39" t="s">
        <v>185</v>
      </c>
      <c r="C119" s="39" t="s">
        <v>13</v>
      </c>
      <c r="D119" s="39">
        <f t="shared" si="1"/>
        <v>1</v>
      </c>
      <c r="E119" s="39" t="s">
        <v>51</v>
      </c>
      <c r="F119" s="39" t="s">
        <v>206</v>
      </c>
      <c r="G119" s="39" t="s">
        <v>16</v>
      </c>
      <c r="H119" s="41">
        <v>45488</v>
      </c>
      <c r="I119" s="39" t="s">
        <v>207</v>
      </c>
      <c r="J119" s="39"/>
    </row>
    <row r="120" spans="1:10" ht="31.5" x14ac:dyDescent="0.25">
      <c r="A120" s="39">
        <v>24046168</v>
      </c>
      <c r="B120" s="39" t="s">
        <v>208</v>
      </c>
      <c r="C120" s="39" t="s">
        <v>112</v>
      </c>
      <c r="D120" s="39">
        <f t="shared" si="1"/>
        <v>1</v>
      </c>
      <c r="E120" s="39" t="s">
        <v>51</v>
      </c>
      <c r="F120" s="39" t="s">
        <v>209</v>
      </c>
      <c r="G120" s="39" t="s">
        <v>16</v>
      </c>
      <c r="H120" s="41">
        <v>45491</v>
      </c>
      <c r="I120" s="39" t="s">
        <v>210</v>
      </c>
      <c r="J120" s="39"/>
    </row>
    <row r="121" spans="1:10" ht="31.5" x14ac:dyDescent="0.25">
      <c r="A121" s="39">
        <v>24075369</v>
      </c>
      <c r="B121" s="39" t="s">
        <v>211</v>
      </c>
      <c r="C121" s="39" t="s">
        <v>112</v>
      </c>
      <c r="D121" s="39">
        <f t="shared" si="1"/>
        <v>1</v>
      </c>
      <c r="E121" s="39" t="s">
        <v>51</v>
      </c>
      <c r="F121" s="39" t="s">
        <v>212</v>
      </c>
      <c r="G121" s="39" t="s">
        <v>16</v>
      </c>
      <c r="H121" s="41">
        <v>45491</v>
      </c>
      <c r="I121" s="39" t="s">
        <v>213</v>
      </c>
      <c r="J121" s="39"/>
    </row>
    <row r="122" spans="1:10" ht="31.5" x14ac:dyDescent="0.25">
      <c r="A122" s="39">
        <v>24075372</v>
      </c>
      <c r="B122" s="39" t="s">
        <v>211</v>
      </c>
      <c r="C122" s="39" t="s">
        <v>112</v>
      </c>
      <c r="D122" s="39">
        <f t="shared" si="1"/>
        <v>1</v>
      </c>
      <c r="E122" s="39" t="s">
        <v>51</v>
      </c>
      <c r="F122" s="39" t="s">
        <v>212</v>
      </c>
      <c r="G122" s="39" t="s">
        <v>16</v>
      </c>
      <c r="H122" s="41">
        <v>45491</v>
      </c>
      <c r="I122" s="39" t="s">
        <v>213</v>
      </c>
      <c r="J122" s="39"/>
    </row>
    <row r="123" spans="1:10" ht="31.5" x14ac:dyDescent="0.25">
      <c r="A123" s="39">
        <v>24075419</v>
      </c>
      <c r="B123" s="39" t="s">
        <v>211</v>
      </c>
      <c r="C123" s="39" t="s">
        <v>112</v>
      </c>
      <c r="D123" s="39">
        <f t="shared" si="1"/>
        <v>1</v>
      </c>
      <c r="E123" s="39" t="s">
        <v>51</v>
      </c>
      <c r="F123" s="39" t="s">
        <v>214</v>
      </c>
      <c r="G123" s="39" t="s">
        <v>16</v>
      </c>
      <c r="H123" s="41">
        <v>45491</v>
      </c>
      <c r="I123" s="39" t="s">
        <v>215</v>
      </c>
      <c r="J123" s="39"/>
    </row>
    <row r="124" spans="1:10" ht="31.5" x14ac:dyDescent="0.25">
      <c r="A124" s="39">
        <v>24075306</v>
      </c>
      <c r="B124" s="39" t="s">
        <v>211</v>
      </c>
      <c r="C124" s="39" t="s">
        <v>112</v>
      </c>
      <c r="D124" s="39">
        <f t="shared" si="1"/>
        <v>1</v>
      </c>
      <c r="E124" s="39" t="s">
        <v>51</v>
      </c>
      <c r="F124" s="39" t="s">
        <v>209</v>
      </c>
      <c r="G124" s="39" t="s">
        <v>16</v>
      </c>
      <c r="H124" s="41">
        <v>45491</v>
      </c>
      <c r="I124" s="39" t="s">
        <v>210</v>
      </c>
      <c r="J124" s="39"/>
    </row>
    <row r="125" spans="1:10" ht="31.5" x14ac:dyDescent="0.25">
      <c r="A125" s="39">
        <v>24045989</v>
      </c>
      <c r="B125" s="39" t="s">
        <v>208</v>
      </c>
      <c r="C125" s="39" t="s">
        <v>112</v>
      </c>
      <c r="D125" s="39">
        <f t="shared" si="1"/>
        <v>1</v>
      </c>
      <c r="E125" s="39" t="s">
        <v>51</v>
      </c>
      <c r="F125" s="39" t="s">
        <v>216</v>
      </c>
      <c r="G125" s="39" t="s">
        <v>16</v>
      </c>
      <c r="H125" s="41">
        <v>45491</v>
      </c>
      <c r="I125" s="39" t="s">
        <v>217</v>
      </c>
      <c r="J125" s="39"/>
    </row>
    <row r="126" spans="1:10" ht="31.5" x14ac:dyDescent="0.25">
      <c r="A126" s="39">
        <v>24046089</v>
      </c>
      <c r="B126" s="39" t="s">
        <v>208</v>
      </c>
      <c r="C126" s="39" t="s">
        <v>112</v>
      </c>
      <c r="D126" s="39">
        <f t="shared" si="1"/>
        <v>1</v>
      </c>
      <c r="E126" s="39" t="s">
        <v>51</v>
      </c>
      <c r="F126" s="39" t="s">
        <v>218</v>
      </c>
      <c r="G126" s="39" t="s">
        <v>16</v>
      </c>
      <c r="H126" s="41">
        <v>45491</v>
      </c>
      <c r="I126" s="39" t="s">
        <v>219</v>
      </c>
      <c r="J126" s="39"/>
    </row>
    <row r="127" spans="1:10" ht="31.5" x14ac:dyDescent="0.25">
      <c r="A127" s="39">
        <v>24046244</v>
      </c>
      <c r="B127" s="39" t="s">
        <v>208</v>
      </c>
      <c r="C127" s="39" t="s">
        <v>112</v>
      </c>
      <c r="D127" s="39">
        <f t="shared" si="1"/>
        <v>1</v>
      </c>
      <c r="E127" s="39" t="s">
        <v>51</v>
      </c>
      <c r="F127" s="39" t="s">
        <v>218</v>
      </c>
      <c r="G127" s="39" t="s">
        <v>16</v>
      </c>
      <c r="H127" s="41">
        <v>45491</v>
      </c>
      <c r="I127" s="39" t="s">
        <v>219</v>
      </c>
      <c r="J127" s="39"/>
    </row>
    <row r="128" spans="1:10" ht="31.5" x14ac:dyDescent="0.25">
      <c r="A128" s="39">
        <v>24046232</v>
      </c>
      <c r="B128" s="39" t="s">
        <v>208</v>
      </c>
      <c r="C128" s="39" t="s">
        <v>112</v>
      </c>
      <c r="D128" s="39">
        <f t="shared" si="1"/>
        <v>1</v>
      </c>
      <c r="E128" s="39" t="s">
        <v>51</v>
      </c>
      <c r="F128" s="39" t="s">
        <v>218</v>
      </c>
      <c r="G128" s="39" t="s">
        <v>16</v>
      </c>
      <c r="H128" s="41">
        <v>45491</v>
      </c>
      <c r="I128" s="39" t="s">
        <v>219</v>
      </c>
      <c r="J128" s="39"/>
    </row>
    <row r="129" spans="1:10" ht="31.5" x14ac:dyDescent="0.25">
      <c r="A129" s="39">
        <v>23065299</v>
      </c>
      <c r="B129" s="39" t="s">
        <v>208</v>
      </c>
      <c r="C129" s="39" t="s">
        <v>112</v>
      </c>
      <c r="D129" s="39">
        <f t="shared" si="1"/>
        <v>1</v>
      </c>
      <c r="E129" s="39" t="s">
        <v>51</v>
      </c>
      <c r="F129" s="39" t="s">
        <v>220</v>
      </c>
      <c r="G129" s="39" t="s">
        <v>16</v>
      </c>
      <c r="H129" s="41">
        <v>45491</v>
      </c>
      <c r="I129" s="39" t="s">
        <v>221</v>
      </c>
      <c r="J129" s="39"/>
    </row>
    <row r="130" spans="1:10" ht="31.5" x14ac:dyDescent="0.25">
      <c r="A130" s="39">
        <v>24023326</v>
      </c>
      <c r="B130" s="39" t="s">
        <v>208</v>
      </c>
      <c r="C130" s="39" t="s">
        <v>112</v>
      </c>
      <c r="D130" s="39">
        <f t="shared" ref="D130:D193" si="2">COUNTIF(A:A,A130)</f>
        <v>1</v>
      </c>
      <c r="E130" s="39" t="s">
        <v>51</v>
      </c>
      <c r="F130" s="39" t="s">
        <v>218</v>
      </c>
      <c r="G130" s="39" t="s">
        <v>16</v>
      </c>
      <c r="H130" s="41">
        <v>45491</v>
      </c>
      <c r="I130" s="39" t="s">
        <v>219</v>
      </c>
      <c r="J130" s="39"/>
    </row>
    <row r="131" spans="1:10" ht="31.5" x14ac:dyDescent="0.25">
      <c r="A131" s="39">
        <v>24023303</v>
      </c>
      <c r="B131" s="39" t="s">
        <v>208</v>
      </c>
      <c r="C131" s="39" t="s">
        <v>112</v>
      </c>
      <c r="D131" s="39">
        <f t="shared" si="2"/>
        <v>1</v>
      </c>
      <c r="E131" s="39" t="s">
        <v>51</v>
      </c>
      <c r="F131" s="39" t="s">
        <v>222</v>
      </c>
      <c r="G131" s="39" t="s">
        <v>16</v>
      </c>
      <c r="H131" s="41">
        <v>45491</v>
      </c>
      <c r="I131" s="39" t="s">
        <v>223</v>
      </c>
      <c r="J131" s="39"/>
    </row>
    <row r="132" spans="1:10" ht="31.5" x14ac:dyDescent="0.25">
      <c r="A132" s="39">
        <v>24023362</v>
      </c>
      <c r="B132" s="39" t="s">
        <v>208</v>
      </c>
      <c r="C132" s="39" t="s">
        <v>112</v>
      </c>
      <c r="D132" s="39">
        <f t="shared" si="2"/>
        <v>1</v>
      </c>
      <c r="E132" s="39" t="s">
        <v>51</v>
      </c>
      <c r="F132" s="39" t="s">
        <v>222</v>
      </c>
      <c r="G132" s="39" t="s">
        <v>16</v>
      </c>
      <c r="H132" s="41">
        <v>45491</v>
      </c>
      <c r="I132" s="39" t="s">
        <v>224</v>
      </c>
      <c r="J132" s="39"/>
    </row>
    <row r="133" spans="1:10" ht="31.5" x14ac:dyDescent="0.25">
      <c r="A133" s="39">
        <v>23085159</v>
      </c>
      <c r="B133" s="39" t="s">
        <v>208</v>
      </c>
      <c r="C133" s="39" t="s">
        <v>112</v>
      </c>
      <c r="D133" s="39">
        <f t="shared" si="2"/>
        <v>1</v>
      </c>
      <c r="E133" s="39" t="s">
        <v>51</v>
      </c>
      <c r="F133" s="39" t="s">
        <v>222</v>
      </c>
      <c r="G133" s="39" t="s">
        <v>16</v>
      </c>
      <c r="H133" s="41">
        <v>45491</v>
      </c>
      <c r="I133" s="39" t="s">
        <v>225</v>
      </c>
      <c r="J133" s="39"/>
    </row>
    <row r="134" spans="1:10" ht="31.5" x14ac:dyDescent="0.25">
      <c r="A134" s="39">
        <v>24076374</v>
      </c>
      <c r="B134" s="39" t="s">
        <v>226</v>
      </c>
      <c r="C134" s="39" t="s">
        <v>227</v>
      </c>
      <c r="D134" s="39">
        <f t="shared" si="2"/>
        <v>1</v>
      </c>
      <c r="E134" s="39" t="s">
        <v>51</v>
      </c>
      <c r="F134" s="39" t="s">
        <v>228</v>
      </c>
      <c r="G134" s="39" t="s">
        <v>16</v>
      </c>
      <c r="H134" s="41">
        <v>45491</v>
      </c>
      <c r="I134" s="39" t="s">
        <v>229</v>
      </c>
      <c r="J134" s="39"/>
    </row>
    <row r="135" spans="1:10" ht="31.5" x14ac:dyDescent="0.25">
      <c r="A135" s="39">
        <v>24045444</v>
      </c>
      <c r="B135" s="39" t="s">
        <v>226</v>
      </c>
      <c r="C135" s="39" t="s">
        <v>227</v>
      </c>
      <c r="D135" s="39">
        <f t="shared" si="2"/>
        <v>1</v>
      </c>
      <c r="E135" s="39" t="s">
        <v>51</v>
      </c>
      <c r="F135" s="39" t="s">
        <v>230</v>
      </c>
      <c r="G135" s="39" t="s">
        <v>16</v>
      </c>
      <c r="H135" s="41">
        <v>45491</v>
      </c>
      <c r="I135" s="39" t="s">
        <v>215</v>
      </c>
      <c r="J135" s="39"/>
    </row>
    <row r="136" spans="1:10" ht="31.5" x14ac:dyDescent="0.25">
      <c r="A136" s="39">
        <v>24076357</v>
      </c>
      <c r="B136" s="39" t="s">
        <v>226</v>
      </c>
      <c r="C136" s="39" t="s">
        <v>227</v>
      </c>
      <c r="D136" s="39">
        <f t="shared" si="2"/>
        <v>1</v>
      </c>
      <c r="E136" s="39" t="s">
        <v>51</v>
      </c>
      <c r="F136" s="39" t="s">
        <v>228</v>
      </c>
      <c r="G136" s="39" t="s">
        <v>16</v>
      </c>
      <c r="H136" s="41">
        <v>45491</v>
      </c>
      <c r="I136" s="39" t="s">
        <v>229</v>
      </c>
      <c r="J136" s="39"/>
    </row>
    <row r="137" spans="1:10" ht="31.5" x14ac:dyDescent="0.25">
      <c r="A137" s="39">
        <v>24045427</v>
      </c>
      <c r="B137" s="39" t="s">
        <v>226</v>
      </c>
      <c r="C137" s="39" t="s">
        <v>227</v>
      </c>
      <c r="D137" s="39">
        <f t="shared" si="2"/>
        <v>1</v>
      </c>
      <c r="E137" s="39" t="s">
        <v>51</v>
      </c>
      <c r="F137" s="39" t="s">
        <v>231</v>
      </c>
      <c r="G137" s="39" t="s">
        <v>16</v>
      </c>
      <c r="H137" s="41">
        <v>45491</v>
      </c>
      <c r="I137" s="39" t="s">
        <v>232</v>
      </c>
      <c r="J137" s="39"/>
    </row>
    <row r="138" spans="1:10" ht="31.5" x14ac:dyDescent="0.25">
      <c r="A138" s="39">
        <v>24023014</v>
      </c>
      <c r="B138" s="39" t="s">
        <v>233</v>
      </c>
      <c r="C138" s="39" t="s">
        <v>227</v>
      </c>
      <c r="D138" s="39">
        <f t="shared" si="2"/>
        <v>1</v>
      </c>
      <c r="E138" s="39" t="s">
        <v>51</v>
      </c>
      <c r="F138" s="39" t="s">
        <v>234</v>
      </c>
      <c r="G138" s="39" t="s">
        <v>16</v>
      </c>
      <c r="H138" s="41">
        <v>45491</v>
      </c>
      <c r="I138" s="39" t="s">
        <v>235</v>
      </c>
      <c r="J138" s="39"/>
    </row>
    <row r="139" spans="1:10" ht="31.5" x14ac:dyDescent="0.25">
      <c r="A139" s="39">
        <v>24076332</v>
      </c>
      <c r="B139" s="39" t="s">
        <v>236</v>
      </c>
      <c r="C139" s="39" t="s">
        <v>237</v>
      </c>
      <c r="D139" s="39">
        <f t="shared" si="2"/>
        <v>1</v>
      </c>
      <c r="E139" s="39" t="s">
        <v>51</v>
      </c>
      <c r="F139" s="39" t="s">
        <v>238</v>
      </c>
      <c r="G139" s="39" t="s">
        <v>16</v>
      </c>
      <c r="H139" s="41">
        <v>45491</v>
      </c>
      <c r="I139" s="39" t="s">
        <v>239</v>
      </c>
      <c r="J139" s="39"/>
    </row>
    <row r="140" spans="1:10" ht="31.5" x14ac:dyDescent="0.25">
      <c r="A140" s="39">
        <v>24076263</v>
      </c>
      <c r="B140" s="39" t="s">
        <v>236</v>
      </c>
      <c r="C140" s="39" t="s">
        <v>237</v>
      </c>
      <c r="D140" s="39">
        <f t="shared" si="2"/>
        <v>1</v>
      </c>
      <c r="E140" s="39" t="s">
        <v>51</v>
      </c>
      <c r="F140" s="39" t="s">
        <v>240</v>
      </c>
      <c r="G140" s="39" t="s">
        <v>16</v>
      </c>
      <c r="H140" s="41">
        <v>45491</v>
      </c>
      <c r="I140" s="39" t="s">
        <v>241</v>
      </c>
      <c r="J140" s="39"/>
    </row>
    <row r="141" spans="1:10" ht="31.5" x14ac:dyDescent="0.25">
      <c r="A141" s="39">
        <v>24055585</v>
      </c>
      <c r="B141" s="39" t="s">
        <v>242</v>
      </c>
      <c r="C141" s="39" t="s">
        <v>243</v>
      </c>
      <c r="D141" s="39">
        <f t="shared" si="2"/>
        <v>1</v>
      </c>
      <c r="E141" s="39" t="s">
        <v>51</v>
      </c>
      <c r="F141" s="39" t="s">
        <v>244</v>
      </c>
      <c r="G141" s="39" t="s">
        <v>16</v>
      </c>
      <c r="H141" s="41">
        <v>45491</v>
      </c>
      <c r="I141" s="39" t="s">
        <v>245</v>
      </c>
      <c r="J141" s="39"/>
    </row>
    <row r="142" spans="1:10" ht="15.75" x14ac:dyDescent="0.25">
      <c r="A142" s="39">
        <v>24065703</v>
      </c>
      <c r="B142" s="39" t="s">
        <v>246</v>
      </c>
      <c r="C142" s="39" t="s">
        <v>247</v>
      </c>
      <c r="D142" s="39">
        <f t="shared" si="2"/>
        <v>1</v>
      </c>
      <c r="E142" s="39" t="s">
        <v>51</v>
      </c>
      <c r="F142" s="39" t="s">
        <v>238</v>
      </c>
      <c r="G142" s="39" t="s">
        <v>16</v>
      </c>
      <c r="H142" s="41">
        <v>45492</v>
      </c>
      <c r="I142" s="39" t="s">
        <v>248</v>
      </c>
      <c r="J142" s="39"/>
    </row>
    <row r="143" spans="1:10" ht="15.75" x14ac:dyDescent="0.25">
      <c r="A143" s="39">
        <v>24065705</v>
      </c>
      <c r="B143" s="39" t="s">
        <v>246</v>
      </c>
      <c r="C143" s="39" t="s">
        <v>247</v>
      </c>
      <c r="D143" s="39">
        <f t="shared" si="2"/>
        <v>1</v>
      </c>
      <c r="E143" s="39" t="s">
        <v>51</v>
      </c>
      <c r="F143" s="39" t="s">
        <v>249</v>
      </c>
      <c r="G143" s="39" t="s">
        <v>16</v>
      </c>
      <c r="H143" s="41">
        <v>45492</v>
      </c>
      <c r="I143" s="39" t="s">
        <v>250</v>
      </c>
      <c r="J143" s="39"/>
    </row>
    <row r="144" spans="1:10" ht="15.75" x14ac:dyDescent="0.25">
      <c r="A144" s="39">
        <v>24065712</v>
      </c>
      <c r="B144" s="39" t="s">
        <v>246</v>
      </c>
      <c r="C144" s="39" t="s">
        <v>247</v>
      </c>
      <c r="D144" s="39">
        <f t="shared" si="2"/>
        <v>1</v>
      </c>
      <c r="E144" s="39" t="s">
        <v>51</v>
      </c>
      <c r="F144" s="39" t="s">
        <v>238</v>
      </c>
      <c r="G144" s="39" t="s">
        <v>16</v>
      </c>
      <c r="H144" s="41">
        <v>45492</v>
      </c>
      <c r="I144" s="39" t="s">
        <v>248</v>
      </c>
      <c r="J144" s="39"/>
    </row>
    <row r="145" spans="1:10" ht="15.75" x14ac:dyDescent="0.25">
      <c r="A145" s="39">
        <v>23112043</v>
      </c>
      <c r="B145" s="39" t="s">
        <v>251</v>
      </c>
      <c r="C145" s="39" t="s">
        <v>252</v>
      </c>
      <c r="D145" s="39">
        <f t="shared" si="2"/>
        <v>1</v>
      </c>
      <c r="E145" s="39" t="s">
        <v>51</v>
      </c>
      <c r="F145" s="39" t="s">
        <v>238</v>
      </c>
      <c r="G145" s="39" t="s">
        <v>16</v>
      </c>
      <c r="H145" s="41">
        <v>45492</v>
      </c>
      <c r="I145" s="39" t="s">
        <v>248</v>
      </c>
      <c r="J145" s="39"/>
    </row>
    <row r="146" spans="1:10" ht="15.75" x14ac:dyDescent="0.25">
      <c r="A146" s="39">
        <v>24035159</v>
      </c>
      <c r="B146" s="39" t="s">
        <v>251</v>
      </c>
      <c r="C146" s="39" t="s">
        <v>252</v>
      </c>
      <c r="D146" s="39">
        <f t="shared" si="2"/>
        <v>1</v>
      </c>
      <c r="E146" s="39" t="s">
        <v>51</v>
      </c>
      <c r="F146" s="39" t="s">
        <v>253</v>
      </c>
      <c r="G146" s="39" t="s">
        <v>16</v>
      </c>
      <c r="H146" s="41">
        <v>45492</v>
      </c>
      <c r="I146" s="39" t="s">
        <v>254</v>
      </c>
      <c r="J146" s="39"/>
    </row>
    <row r="147" spans="1:10" ht="15.75" x14ac:dyDescent="0.25">
      <c r="A147" s="39">
        <v>24035144</v>
      </c>
      <c r="B147" s="39" t="s">
        <v>251</v>
      </c>
      <c r="C147" s="39" t="s">
        <v>252</v>
      </c>
      <c r="D147" s="39">
        <f t="shared" si="2"/>
        <v>1</v>
      </c>
      <c r="E147" s="39" t="s">
        <v>51</v>
      </c>
      <c r="F147" s="39" t="s">
        <v>253</v>
      </c>
      <c r="G147" s="39" t="s">
        <v>16</v>
      </c>
      <c r="H147" s="41">
        <v>45492</v>
      </c>
      <c r="I147" s="39" t="s">
        <v>254</v>
      </c>
      <c r="J147" s="39"/>
    </row>
    <row r="148" spans="1:10" ht="15.75" x14ac:dyDescent="0.25">
      <c r="A148" s="39">
        <v>24035151</v>
      </c>
      <c r="B148" s="39" t="s">
        <v>251</v>
      </c>
      <c r="C148" s="39" t="s">
        <v>252</v>
      </c>
      <c r="D148" s="39">
        <f t="shared" si="2"/>
        <v>1</v>
      </c>
      <c r="E148" s="39" t="s">
        <v>51</v>
      </c>
      <c r="F148" s="39" t="s">
        <v>238</v>
      </c>
      <c r="G148" s="39" t="s">
        <v>16</v>
      </c>
      <c r="H148" s="41">
        <v>45492</v>
      </c>
      <c r="I148" s="39" t="s">
        <v>248</v>
      </c>
      <c r="J148" s="39"/>
    </row>
    <row r="149" spans="1:10" ht="15.75" x14ac:dyDescent="0.25">
      <c r="A149" s="39">
        <v>23112046</v>
      </c>
      <c r="B149" s="39" t="s">
        <v>251</v>
      </c>
      <c r="C149" s="39" t="s">
        <v>252</v>
      </c>
      <c r="D149" s="39">
        <f t="shared" si="2"/>
        <v>1</v>
      </c>
      <c r="E149" s="39" t="s">
        <v>51</v>
      </c>
      <c r="F149" s="39" t="s">
        <v>255</v>
      </c>
      <c r="G149" s="39" t="s">
        <v>16</v>
      </c>
      <c r="H149" s="41">
        <v>45492</v>
      </c>
      <c r="I149" s="39" t="s">
        <v>256</v>
      </c>
      <c r="J149" s="39"/>
    </row>
    <row r="150" spans="1:10" ht="31.5" x14ac:dyDescent="0.25">
      <c r="A150" s="39">
        <v>24075946</v>
      </c>
      <c r="B150" s="39" t="s">
        <v>257</v>
      </c>
      <c r="C150" s="39" t="s">
        <v>258</v>
      </c>
      <c r="D150" s="39">
        <f t="shared" si="2"/>
        <v>1</v>
      </c>
      <c r="E150" s="39" t="s">
        <v>51</v>
      </c>
      <c r="F150" s="39" t="s">
        <v>259</v>
      </c>
      <c r="G150" s="39" t="s">
        <v>16</v>
      </c>
      <c r="H150" s="41">
        <v>45492</v>
      </c>
      <c r="I150" s="39" t="s">
        <v>260</v>
      </c>
      <c r="J150" s="39"/>
    </row>
    <row r="151" spans="1:10" ht="31.5" x14ac:dyDescent="0.25">
      <c r="A151" s="39">
        <v>24065092</v>
      </c>
      <c r="B151" s="39" t="s">
        <v>257</v>
      </c>
      <c r="C151" s="39" t="s">
        <v>258</v>
      </c>
      <c r="D151" s="39">
        <f t="shared" si="2"/>
        <v>1</v>
      </c>
      <c r="E151" s="39" t="s">
        <v>51</v>
      </c>
      <c r="F151" s="39" t="s">
        <v>261</v>
      </c>
      <c r="G151" s="39" t="s">
        <v>16</v>
      </c>
      <c r="H151" s="41">
        <v>45492</v>
      </c>
      <c r="I151" s="39" t="s">
        <v>262</v>
      </c>
      <c r="J151" s="39"/>
    </row>
    <row r="152" spans="1:10" ht="31.5" x14ac:dyDescent="0.25">
      <c r="A152" s="39">
        <v>24077813</v>
      </c>
      <c r="B152" s="39" t="s">
        <v>257</v>
      </c>
      <c r="C152" s="39" t="s">
        <v>258</v>
      </c>
      <c r="D152" s="39">
        <f t="shared" si="2"/>
        <v>1</v>
      </c>
      <c r="E152" s="39" t="s">
        <v>51</v>
      </c>
      <c r="F152" s="39" t="s">
        <v>263</v>
      </c>
      <c r="G152" s="39" t="s">
        <v>16</v>
      </c>
      <c r="H152" s="41">
        <v>45492</v>
      </c>
      <c r="I152" s="39" t="s">
        <v>264</v>
      </c>
      <c r="J152" s="39"/>
    </row>
    <row r="153" spans="1:10" ht="31.5" x14ac:dyDescent="0.25">
      <c r="A153" s="39">
        <v>20040131</v>
      </c>
      <c r="B153" s="39" t="s">
        <v>20</v>
      </c>
      <c r="C153" s="39" t="s">
        <v>13</v>
      </c>
      <c r="D153" s="39">
        <f t="shared" si="2"/>
        <v>1</v>
      </c>
      <c r="E153" s="39" t="s">
        <v>14</v>
      </c>
      <c r="F153" s="39" t="s">
        <v>21</v>
      </c>
      <c r="G153" s="39" t="s">
        <v>16</v>
      </c>
      <c r="H153" s="41">
        <v>45499</v>
      </c>
      <c r="I153" s="39" t="s">
        <v>265</v>
      </c>
      <c r="J153" s="39"/>
    </row>
    <row r="154" spans="1:10" ht="15.75" x14ac:dyDescent="0.25">
      <c r="A154" s="39">
        <v>23025244</v>
      </c>
      <c r="B154" s="39" t="s">
        <v>12</v>
      </c>
      <c r="C154" s="39" t="s">
        <v>13</v>
      </c>
      <c r="D154" s="39">
        <f t="shared" si="2"/>
        <v>1</v>
      </c>
      <c r="E154" s="39" t="s">
        <v>14</v>
      </c>
      <c r="F154" s="39" t="s">
        <v>175</v>
      </c>
      <c r="G154" s="39" t="s">
        <v>16</v>
      </c>
      <c r="H154" s="41">
        <v>45499</v>
      </c>
      <c r="I154" s="39" t="s">
        <v>266</v>
      </c>
      <c r="J154" s="39"/>
    </row>
    <row r="155" spans="1:10" ht="31.5" x14ac:dyDescent="0.25">
      <c r="A155" s="39">
        <v>24055611</v>
      </c>
      <c r="B155" s="39" t="s">
        <v>26</v>
      </c>
      <c r="C155" s="39" t="s">
        <v>13</v>
      </c>
      <c r="D155" s="39">
        <f t="shared" si="2"/>
        <v>1</v>
      </c>
      <c r="E155" s="39" t="s">
        <v>14</v>
      </c>
      <c r="F155" s="39" t="s">
        <v>267</v>
      </c>
      <c r="G155" s="39" t="s">
        <v>16</v>
      </c>
      <c r="H155" s="41">
        <v>45499</v>
      </c>
      <c r="I155" s="39" t="s">
        <v>268</v>
      </c>
      <c r="J155" s="39"/>
    </row>
    <row r="156" spans="1:10" ht="31.5" x14ac:dyDescent="0.25">
      <c r="A156" s="39">
        <v>24065283</v>
      </c>
      <c r="B156" s="39" t="s">
        <v>185</v>
      </c>
      <c r="C156" s="39" t="s">
        <v>13</v>
      </c>
      <c r="D156" s="39">
        <f t="shared" si="2"/>
        <v>1</v>
      </c>
      <c r="E156" s="39" t="s">
        <v>14</v>
      </c>
      <c r="F156" s="39" t="s">
        <v>269</v>
      </c>
      <c r="G156" s="39" t="s">
        <v>16</v>
      </c>
      <c r="H156" s="41">
        <v>45499</v>
      </c>
      <c r="I156" s="39" t="s">
        <v>270</v>
      </c>
      <c r="J156" s="39"/>
    </row>
    <row r="157" spans="1:10" ht="31.5" x14ac:dyDescent="0.25">
      <c r="A157" s="39">
        <v>21010995</v>
      </c>
      <c r="B157" s="39" t="s">
        <v>20</v>
      </c>
      <c r="C157" s="39" t="s">
        <v>13</v>
      </c>
      <c r="D157" s="39">
        <f t="shared" si="2"/>
        <v>1</v>
      </c>
      <c r="E157" s="39" t="s">
        <v>14</v>
      </c>
      <c r="F157" s="39" t="s">
        <v>271</v>
      </c>
      <c r="G157" s="39" t="s">
        <v>16</v>
      </c>
      <c r="H157" s="41">
        <v>45499</v>
      </c>
      <c r="I157" s="39" t="s">
        <v>272</v>
      </c>
      <c r="J157" s="39"/>
    </row>
    <row r="158" spans="1:10" ht="15.75" x14ac:dyDescent="0.25">
      <c r="A158" s="39">
        <v>24023418</v>
      </c>
      <c r="B158" s="39" t="s">
        <v>26</v>
      </c>
      <c r="C158" s="39" t="s">
        <v>13</v>
      </c>
      <c r="D158" s="39">
        <f t="shared" si="2"/>
        <v>1</v>
      </c>
      <c r="E158" s="39" t="s">
        <v>14</v>
      </c>
      <c r="F158" s="39" t="s">
        <v>175</v>
      </c>
      <c r="G158" s="39" t="s">
        <v>16</v>
      </c>
      <c r="H158" s="41">
        <v>45499</v>
      </c>
      <c r="I158" s="39" t="s">
        <v>273</v>
      </c>
      <c r="J158" s="39"/>
    </row>
    <row r="159" spans="1:10" ht="15.75" x14ac:dyDescent="0.25">
      <c r="A159" s="39">
        <v>23112047</v>
      </c>
      <c r="B159" s="39" t="s">
        <v>12</v>
      </c>
      <c r="C159" s="39" t="s">
        <v>13</v>
      </c>
      <c r="D159" s="39">
        <f t="shared" si="2"/>
        <v>1</v>
      </c>
      <c r="E159" s="39" t="s">
        <v>14</v>
      </c>
      <c r="F159" s="39" t="s">
        <v>175</v>
      </c>
      <c r="G159" s="39" t="s">
        <v>16</v>
      </c>
      <c r="H159" s="41">
        <v>45499</v>
      </c>
      <c r="I159" s="39" t="s">
        <v>266</v>
      </c>
      <c r="J159" s="39"/>
    </row>
    <row r="160" spans="1:10" ht="15.75" x14ac:dyDescent="0.25">
      <c r="A160" s="39">
        <v>24055832</v>
      </c>
      <c r="B160" s="39" t="s">
        <v>185</v>
      </c>
      <c r="C160" s="39" t="s">
        <v>13</v>
      </c>
      <c r="D160" s="39">
        <f t="shared" si="2"/>
        <v>1</v>
      </c>
      <c r="E160" s="39" t="s">
        <v>14</v>
      </c>
      <c r="F160" s="39" t="s">
        <v>21</v>
      </c>
      <c r="G160" s="39" t="s">
        <v>16</v>
      </c>
      <c r="H160" s="41">
        <v>45499</v>
      </c>
      <c r="I160" s="39" t="s">
        <v>274</v>
      </c>
      <c r="J160" s="39"/>
    </row>
    <row r="161" spans="1:10" ht="15.75" x14ac:dyDescent="0.25">
      <c r="A161" s="39">
        <v>23025344</v>
      </c>
      <c r="B161" s="39" t="s">
        <v>12</v>
      </c>
      <c r="C161" s="39" t="s">
        <v>13</v>
      </c>
      <c r="D161" s="39">
        <f t="shared" si="2"/>
        <v>2</v>
      </c>
      <c r="E161" s="39" t="s">
        <v>14</v>
      </c>
      <c r="F161" s="39" t="s">
        <v>175</v>
      </c>
      <c r="G161" s="39" t="s">
        <v>16</v>
      </c>
      <c r="H161" s="41">
        <v>45499</v>
      </c>
      <c r="I161" s="39" t="s">
        <v>275</v>
      </c>
      <c r="J161" s="39"/>
    </row>
    <row r="162" spans="1:10" ht="31.5" x14ac:dyDescent="0.25">
      <c r="A162" s="39">
        <v>23085212</v>
      </c>
      <c r="B162" s="39" t="s">
        <v>208</v>
      </c>
      <c r="C162" s="39" t="s">
        <v>112</v>
      </c>
      <c r="D162" s="39">
        <f t="shared" si="2"/>
        <v>1</v>
      </c>
      <c r="E162" s="39" t="s">
        <v>14</v>
      </c>
      <c r="F162" s="39" t="s">
        <v>276</v>
      </c>
      <c r="G162" s="39" t="s">
        <v>16</v>
      </c>
      <c r="H162" s="41">
        <v>45502</v>
      </c>
      <c r="I162" s="39" t="s">
        <v>277</v>
      </c>
      <c r="J162" s="39"/>
    </row>
    <row r="163" spans="1:10" ht="31.5" x14ac:dyDescent="0.25">
      <c r="A163" s="39">
        <v>24045993</v>
      </c>
      <c r="B163" s="39" t="s">
        <v>208</v>
      </c>
      <c r="C163" s="39" t="s">
        <v>112</v>
      </c>
      <c r="D163" s="39">
        <f t="shared" si="2"/>
        <v>1</v>
      </c>
      <c r="E163" s="39" t="s">
        <v>14</v>
      </c>
      <c r="F163" s="39" t="s">
        <v>278</v>
      </c>
      <c r="G163" s="39" t="s">
        <v>16</v>
      </c>
      <c r="H163" s="41">
        <v>45502</v>
      </c>
      <c r="I163" s="39" t="s">
        <v>279</v>
      </c>
      <c r="J163" s="39"/>
    </row>
    <row r="164" spans="1:10" ht="31.5" x14ac:dyDescent="0.25">
      <c r="A164" s="39">
        <v>24023287</v>
      </c>
      <c r="B164" s="39" t="s">
        <v>208</v>
      </c>
      <c r="C164" s="39" t="s">
        <v>112</v>
      </c>
      <c r="D164" s="39">
        <f t="shared" si="2"/>
        <v>1</v>
      </c>
      <c r="E164" s="39" t="s">
        <v>14</v>
      </c>
      <c r="F164" s="39" t="s">
        <v>278</v>
      </c>
      <c r="G164" s="39" t="s">
        <v>16</v>
      </c>
      <c r="H164" s="41">
        <v>45502</v>
      </c>
      <c r="I164" s="39" t="s">
        <v>280</v>
      </c>
      <c r="J164" s="39"/>
    </row>
    <row r="165" spans="1:10" ht="31.5" x14ac:dyDescent="0.25">
      <c r="A165" s="39">
        <v>23085120</v>
      </c>
      <c r="B165" s="39" t="s">
        <v>208</v>
      </c>
      <c r="C165" s="39" t="s">
        <v>112</v>
      </c>
      <c r="D165" s="39">
        <f t="shared" si="2"/>
        <v>1</v>
      </c>
      <c r="E165" s="39" t="s">
        <v>14</v>
      </c>
      <c r="F165" s="39" t="s">
        <v>278</v>
      </c>
      <c r="G165" s="39" t="s">
        <v>16</v>
      </c>
      <c r="H165" s="41">
        <v>45502</v>
      </c>
      <c r="I165" s="39" t="s">
        <v>280</v>
      </c>
      <c r="J165" s="39"/>
    </row>
    <row r="166" spans="1:10" ht="31.5" x14ac:dyDescent="0.25">
      <c r="A166" s="39">
        <v>24023254</v>
      </c>
      <c r="B166" s="39" t="s">
        <v>208</v>
      </c>
      <c r="C166" s="39" t="s">
        <v>112</v>
      </c>
      <c r="D166" s="39">
        <f t="shared" si="2"/>
        <v>1</v>
      </c>
      <c r="E166" s="39" t="s">
        <v>14</v>
      </c>
      <c r="F166" s="39" t="s">
        <v>278</v>
      </c>
      <c r="G166" s="39" t="s">
        <v>16</v>
      </c>
      <c r="H166" s="41">
        <v>45502</v>
      </c>
      <c r="I166" s="39" t="s">
        <v>280</v>
      </c>
      <c r="J166" s="39"/>
    </row>
    <row r="167" spans="1:10" ht="31.5" x14ac:dyDescent="0.25">
      <c r="A167" s="39">
        <v>24023252</v>
      </c>
      <c r="B167" s="39" t="s">
        <v>208</v>
      </c>
      <c r="C167" s="39" t="s">
        <v>112</v>
      </c>
      <c r="D167" s="39">
        <f t="shared" si="2"/>
        <v>1</v>
      </c>
      <c r="E167" s="39" t="s">
        <v>14</v>
      </c>
      <c r="F167" s="39" t="s">
        <v>278</v>
      </c>
      <c r="G167" s="39" t="s">
        <v>16</v>
      </c>
      <c r="H167" s="41">
        <v>45502</v>
      </c>
      <c r="I167" s="39" t="s">
        <v>281</v>
      </c>
      <c r="J167" s="39"/>
    </row>
    <row r="168" spans="1:10" ht="31.5" x14ac:dyDescent="0.25">
      <c r="A168" s="39">
        <v>21100214</v>
      </c>
      <c r="B168" s="39" t="s">
        <v>282</v>
      </c>
      <c r="C168" s="39" t="s">
        <v>237</v>
      </c>
      <c r="D168" s="39">
        <f t="shared" si="2"/>
        <v>1</v>
      </c>
      <c r="E168" s="39" t="s">
        <v>14</v>
      </c>
      <c r="F168" s="39" t="s">
        <v>76</v>
      </c>
      <c r="G168" s="39" t="s">
        <v>16</v>
      </c>
      <c r="H168" s="41">
        <v>45504</v>
      </c>
      <c r="I168" s="39" t="s">
        <v>283</v>
      </c>
      <c r="J168" s="39"/>
    </row>
    <row r="169" spans="1:10" ht="31.5" x14ac:dyDescent="0.25">
      <c r="A169" s="39">
        <v>20101025</v>
      </c>
      <c r="B169" s="39" t="s">
        <v>282</v>
      </c>
      <c r="C169" s="39" t="s">
        <v>237</v>
      </c>
      <c r="D169" s="39">
        <f t="shared" si="2"/>
        <v>1</v>
      </c>
      <c r="E169" s="39" t="s">
        <v>14</v>
      </c>
      <c r="F169" s="39" t="s">
        <v>76</v>
      </c>
      <c r="G169" s="39" t="s">
        <v>16</v>
      </c>
      <c r="H169" s="41">
        <v>45504</v>
      </c>
      <c r="I169" s="39" t="s">
        <v>283</v>
      </c>
      <c r="J169" s="39"/>
    </row>
    <row r="170" spans="1:10" ht="31.5" x14ac:dyDescent="0.25">
      <c r="A170" s="39">
        <v>22030092</v>
      </c>
      <c r="B170" s="39" t="s">
        <v>282</v>
      </c>
      <c r="C170" s="39" t="s">
        <v>237</v>
      </c>
      <c r="D170" s="39">
        <f t="shared" si="2"/>
        <v>1</v>
      </c>
      <c r="E170" s="39" t="s">
        <v>14</v>
      </c>
      <c r="F170" s="39" t="s">
        <v>76</v>
      </c>
      <c r="G170" s="39" t="s">
        <v>16</v>
      </c>
      <c r="H170" s="41">
        <v>45504</v>
      </c>
      <c r="I170" s="39" t="s">
        <v>283</v>
      </c>
      <c r="J170" s="39"/>
    </row>
    <row r="171" spans="1:10" ht="31.5" x14ac:dyDescent="0.25">
      <c r="A171" s="39">
        <v>23025533</v>
      </c>
      <c r="B171" s="39" t="s">
        <v>282</v>
      </c>
      <c r="C171" s="39" t="s">
        <v>237</v>
      </c>
      <c r="D171" s="39">
        <f t="shared" si="2"/>
        <v>1</v>
      </c>
      <c r="E171" s="39" t="s">
        <v>14</v>
      </c>
      <c r="F171" s="39" t="s">
        <v>76</v>
      </c>
      <c r="G171" s="39" t="s">
        <v>16</v>
      </c>
      <c r="H171" s="41">
        <v>45504</v>
      </c>
      <c r="I171" s="39" t="s">
        <v>283</v>
      </c>
      <c r="J171" s="39"/>
    </row>
    <row r="172" spans="1:10" ht="31.5" x14ac:dyDescent="0.25">
      <c r="A172" s="39">
        <v>23085367</v>
      </c>
      <c r="B172" s="39" t="s">
        <v>282</v>
      </c>
      <c r="C172" s="39" t="s">
        <v>237</v>
      </c>
      <c r="D172" s="39">
        <f t="shared" si="2"/>
        <v>1</v>
      </c>
      <c r="E172" s="39" t="s">
        <v>14</v>
      </c>
      <c r="F172" s="39" t="s">
        <v>284</v>
      </c>
      <c r="G172" s="39" t="s">
        <v>16</v>
      </c>
      <c r="H172" s="41">
        <v>45504</v>
      </c>
      <c r="I172" s="39" t="s">
        <v>285</v>
      </c>
      <c r="J172" s="39"/>
    </row>
    <row r="173" spans="1:10" ht="31.5" x14ac:dyDescent="0.25">
      <c r="A173" s="39">
        <v>20101013</v>
      </c>
      <c r="B173" s="39" t="s">
        <v>282</v>
      </c>
      <c r="C173" s="39" t="s">
        <v>237</v>
      </c>
      <c r="D173" s="39">
        <f t="shared" si="2"/>
        <v>1</v>
      </c>
      <c r="E173" s="39" t="s">
        <v>14</v>
      </c>
      <c r="F173" s="39" t="s">
        <v>284</v>
      </c>
      <c r="G173" s="39" t="s">
        <v>16</v>
      </c>
      <c r="H173" s="41">
        <v>45504</v>
      </c>
      <c r="I173" s="39" t="s">
        <v>285</v>
      </c>
      <c r="J173" s="39"/>
    </row>
    <row r="174" spans="1:10" ht="31.5" x14ac:dyDescent="0.25">
      <c r="A174" s="39">
        <v>22047046</v>
      </c>
      <c r="B174" s="39" t="s">
        <v>282</v>
      </c>
      <c r="C174" s="39" t="s">
        <v>237</v>
      </c>
      <c r="D174" s="39">
        <f t="shared" si="2"/>
        <v>1</v>
      </c>
      <c r="E174" s="39" t="s">
        <v>14</v>
      </c>
      <c r="F174" s="39" t="s">
        <v>284</v>
      </c>
      <c r="G174" s="39" t="s">
        <v>16</v>
      </c>
      <c r="H174" s="41">
        <v>45504</v>
      </c>
      <c r="I174" s="39" t="s">
        <v>285</v>
      </c>
      <c r="J174" s="39"/>
    </row>
    <row r="175" spans="1:10" ht="31.5" x14ac:dyDescent="0.25">
      <c r="A175" s="39">
        <v>21010242</v>
      </c>
      <c r="B175" s="39" t="s">
        <v>286</v>
      </c>
      <c r="C175" s="39" t="s">
        <v>287</v>
      </c>
      <c r="D175" s="39">
        <f t="shared" si="2"/>
        <v>1</v>
      </c>
      <c r="E175" s="39" t="s">
        <v>14</v>
      </c>
      <c r="F175" s="39" t="s">
        <v>288</v>
      </c>
      <c r="G175" s="39" t="s">
        <v>16</v>
      </c>
      <c r="H175" s="41">
        <v>45504</v>
      </c>
      <c r="I175" s="39" t="s">
        <v>289</v>
      </c>
      <c r="J175" s="39"/>
    </row>
    <row r="176" spans="1:10" ht="31.5" x14ac:dyDescent="0.25">
      <c r="A176" s="39">
        <v>22060195</v>
      </c>
      <c r="B176" s="39" t="s">
        <v>286</v>
      </c>
      <c r="C176" s="39" t="s">
        <v>287</v>
      </c>
      <c r="D176" s="39">
        <f t="shared" si="2"/>
        <v>1</v>
      </c>
      <c r="E176" s="39" t="s">
        <v>14</v>
      </c>
      <c r="F176" s="39" t="s">
        <v>288</v>
      </c>
      <c r="G176" s="39" t="s">
        <v>16</v>
      </c>
      <c r="H176" s="41">
        <v>45504</v>
      </c>
      <c r="I176" s="39" t="s">
        <v>290</v>
      </c>
      <c r="J176" s="39"/>
    </row>
    <row r="177" spans="1:10" ht="31.5" x14ac:dyDescent="0.25">
      <c r="A177" s="39">
        <v>21010246</v>
      </c>
      <c r="B177" s="39" t="s">
        <v>286</v>
      </c>
      <c r="C177" s="39" t="s">
        <v>287</v>
      </c>
      <c r="D177" s="39">
        <f t="shared" si="2"/>
        <v>1</v>
      </c>
      <c r="E177" s="39" t="s">
        <v>14</v>
      </c>
      <c r="F177" s="39" t="s">
        <v>288</v>
      </c>
      <c r="G177" s="39" t="s">
        <v>16</v>
      </c>
      <c r="H177" s="41">
        <v>45504</v>
      </c>
      <c r="I177" s="39" t="s">
        <v>290</v>
      </c>
      <c r="J177" s="39"/>
    </row>
    <row r="178" spans="1:10" ht="31.5" x14ac:dyDescent="0.25">
      <c r="A178" s="39">
        <v>24045625</v>
      </c>
      <c r="B178" s="39" t="s">
        <v>291</v>
      </c>
      <c r="C178" s="39" t="s">
        <v>13</v>
      </c>
      <c r="D178" s="39">
        <f t="shared" si="2"/>
        <v>1</v>
      </c>
      <c r="E178" s="39" t="s">
        <v>51</v>
      </c>
      <c r="F178" s="39" t="s">
        <v>292</v>
      </c>
      <c r="G178" s="39" t="s">
        <v>16</v>
      </c>
      <c r="H178" s="41">
        <v>45506</v>
      </c>
      <c r="I178" s="39" t="s">
        <v>293</v>
      </c>
      <c r="J178" s="39"/>
    </row>
    <row r="179" spans="1:10" ht="31.5" x14ac:dyDescent="0.25">
      <c r="A179" s="39">
        <v>24045609</v>
      </c>
      <c r="B179" s="39" t="s">
        <v>291</v>
      </c>
      <c r="C179" s="39" t="s">
        <v>13</v>
      </c>
      <c r="D179" s="39">
        <f t="shared" si="2"/>
        <v>1</v>
      </c>
      <c r="E179" s="39" t="s">
        <v>51</v>
      </c>
      <c r="F179" s="39" t="s">
        <v>292</v>
      </c>
      <c r="G179" s="39" t="s">
        <v>16</v>
      </c>
      <c r="H179" s="41">
        <v>45506</v>
      </c>
      <c r="I179" s="39" t="s">
        <v>293</v>
      </c>
      <c r="J179" s="39"/>
    </row>
    <row r="180" spans="1:10" ht="31.5" x14ac:dyDescent="0.25">
      <c r="A180" s="39">
        <v>24045616</v>
      </c>
      <c r="B180" s="39" t="s">
        <v>291</v>
      </c>
      <c r="C180" s="39" t="s">
        <v>13</v>
      </c>
      <c r="D180" s="39">
        <f t="shared" si="2"/>
        <v>1</v>
      </c>
      <c r="E180" s="39" t="s">
        <v>51</v>
      </c>
      <c r="F180" s="39" t="s">
        <v>292</v>
      </c>
      <c r="G180" s="39" t="s">
        <v>16</v>
      </c>
      <c r="H180" s="41">
        <v>45506</v>
      </c>
      <c r="I180" s="39" t="s">
        <v>293</v>
      </c>
      <c r="J180" s="39"/>
    </row>
    <row r="181" spans="1:10" ht="31.5" x14ac:dyDescent="0.25">
      <c r="A181" s="39">
        <v>24045628</v>
      </c>
      <c r="B181" s="39" t="s">
        <v>291</v>
      </c>
      <c r="C181" s="39" t="s">
        <v>13</v>
      </c>
      <c r="D181" s="39">
        <f t="shared" si="2"/>
        <v>1</v>
      </c>
      <c r="E181" s="39" t="s">
        <v>51</v>
      </c>
      <c r="F181" s="39" t="s">
        <v>292</v>
      </c>
      <c r="G181" s="39" t="s">
        <v>16</v>
      </c>
      <c r="H181" s="41">
        <v>45506</v>
      </c>
      <c r="I181" s="39" t="s">
        <v>293</v>
      </c>
      <c r="J181" s="39"/>
    </row>
    <row r="182" spans="1:10" ht="31.5" x14ac:dyDescent="0.25">
      <c r="A182" s="39">
        <v>24045633</v>
      </c>
      <c r="B182" s="39" t="s">
        <v>291</v>
      </c>
      <c r="C182" s="39" t="s">
        <v>13</v>
      </c>
      <c r="D182" s="39">
        <f t="shared" si="2"/>
        <v>1</v>
      </c>
      <c r="E182" s="39" t="s">
        <v>51</v>
      </c>
      <c r="F182" s="39" t="s">
        <v>292</v>
      </c>
      <c r="G182" s="39" t="s">
        <v>16</v>
      </c>
      <c r="H182" s="41">
        <v>45507</v>
      </c>
      <c r="I182" s="39" t="s">
        <v>294</v>
      </c>
      <c r="J182" s="39"/>
    </row>
    <row r="183" spans="1:10" ht="15.75" x14ac:dyDescent="0.25">
      <c r="A183" s="39">
        <v>24088610</v>
      </c>
      <c r="B183" s="39" t="s">
        <v>185</v>
      </c>
      <c r="C183" s="39" t="s">
        <v>13</v>
      </c>
      <c r="D183" s="39">
        <f t="shared" si="2"/>
        <v>1</v>
      </c>
      <c r="E183" s="39" t="s">
        <v>51</v>
      </c>
      <c r="F183" s="39" t="s">
        <v>295</v>
      </c>
      <c r="G183" s="39" t="s">
        <v>136</v>
      </c>
      <c r="H183" s="41">
        <v>45505</v>
      </c>
      <c r="I183" s="39" t="s">
        <v>296</v>
      </c>
      <c r="J183" s="39"/>
    </row>
    <row r="184" spans="1:10" ht="31.5" x14ac:dyDescent="0.25">
      <c r="A184" s="39">
        <v>24045630</v>
      </c>
      <c r="B184" s="39" t="s">
        <v>291</v>
      </c>
      <c r="C184" s="39" t="s">
        <v>13</v>
      </c>
      <c r="D184" s="39">
        <f t="shared" si="2"/>
        <v>1</v>
      </c>
      <c r="E184" s="39" t="s">
        <v>51</v>
      </c>
      <c r="F184" s="39" t="s">
        <v>292</v>
      </c>
      <c r="G184" s="39" t="s">
        <v>16</v>
      </c>
      <c r="H184" s="41">
        <v>45516</v>
      </c>
      <c r="I184" s="39" t="s">
        <v>297</v>
      </c>
      <c r="J184" s="39"/>
    </row>
    <row r="185" spans="1:10" ht="31.5" x14ac:dyDescent="0.25">
      <c r="A185" s="39">
        <v>24088611</v>
      </c>
      <c r="B185" s="39" t="s">
        <v>185</v>
      </c>
      <c r="C185" s="39" t="s">
        <v>13</v>
      </c>
      <c r="D185" s="39">
        <f t="shared" si="2"/>
        <v>1</v>
      </c>
      <c r="E185" s="39" t="s">
        <v>51</v>
      </c>
      <c r="F185" s="39" t="s">
        <v>21</v>
      </c>
      <c r="G185" s="39" t="s">
        <v>16</v>
      </c>
      <c r="H185" s="41">
        <v>45516</v>
      </c>
      <c r="I185" s="39" t="s">
        <v>298</v>
      </c>
      <c r="J185" s="39"/>
    </row>
    <row r="186" spans="1:10" ht="31.5" x14ac:dyDescent="0.25">
      <c r="A186" s="39">
        <v>24088551</v>
      </c>
      <c r="B186" s="39" t="s">
        <v>185</v>
      </c>
      <c r="C186" s="39" t="s">
        <v>13</v>
      </c>
      <c r="D186" s="39">
        <f t="shared" si="2"/>
        <v>1</v>
      </c>
      <c r="E186" s="39" t="s">
        <v>51</v>
      </c>
      <c r="F186" s="39" t="s">
        <v>160</v>
      </c>
      <c r="G186" s="39" t="s">
        <v>16</v>
      </c>
      <c r="H186" s="41">
        <v>45516</v>
      </c>
      <c r="I186" s="39" t="s">
        <v>299</v>
      </c>
      <c r="J186" s="39"/>
    </row>
    <row r="187" spans="1:10" ht="15.75" x14ac:dyDescent="0.25">
      <c r="A187" s="39">
        <v>24088533</v>
      </c>
      <c r="B187" s="39" t="s">
        <v>185</v>
      </c>
      <c r="C187" s="39" t="s">
        <v>13</v>
      </c>
      <c r="D187" s="39">
        <f t="shared" si="2"/>
        <v>1</v>
      </c>
      <c r="E187" s="39" t="s">
        <v>51</v>
      </c>
      <c r="F187" s="39" t="s">
        <v>300</v>
      </c>
      <c r="G187" s="39" t="s">
        <v>16</v>
      </c>
      <c r="H187" s="41">
        <v>45516</v>
      </c>
      <c r="I187" s="39" t="s">
        <v>301</v>
      </c>
      <c r="J187" s="39"/>
    </row>
    <row r="188" spans="1:10" ht="15.75" x14ac:dyDescent="0.25">
      <c r="A188" s="39">
        <v>24088568</v>
      </c>
      <c r="B188" s="39" t="s">
        <v>185</v>
      </c>
      <c r="C188" s="39" t="s">
        <v>13</v>
      </c>
      <c r="D188" s="39">
        <f t="shared" si="2"/>
        <v>1</v>
      </c>
      <c r="E188" s="39" t="s">
        <v>51</v>
      </c>
      <c r="F188" s="39" t="s">
        <v>302</v>
      </c>
      <c r="G188" s="39" t="s">
        <v>16</v>
      </c>
      <c r="H188" s="41">
        <v>45516</v>
      </c>
      <c r="I188" s="39" t="s">
        <v>303</v>
      </c>
      <c r="J188" s="39"/>
    </row>
    <row r="189" spans="1:10" ht="47.25" x14ac:dyDescent="0.25">
      <c r="A189" s="39">
        <v>23095121</v>
      </c>
      <c r="B189" s="39" t="s">
        <v>26</v>
      </c>
      <c r="C189" s="39" t="s">
        <v>13</v>
      </c>
      <c r="D189" s="39">
        <f t="shared" si="2"/>
        <v>1</v>
      </c>
      <c r="E189" s="39" t="s">
        <v>51</v>
      </c>
      <c r="F189" s="39" t="s">
        <v>304</v>
      </c>
      <c r="G189" s="39" t="s">
        <v>16</v>
      </c>
      <c r="H189" s="41">
        <v>45516</v>
      </c>
      <c r="I189" s="39" t="s">
        <v>305</v>
      </c>
      <c r="J189" s="39"/>
    </row>
    <row r="190" spans="1:10" ht="47.25" x14ac:dyDescent="0.25">
      <c r="A190" s="39">
        <v>24078164</v>
      </c>
      <c r="B190" s="39" t="s">
        <v>185</v>
      </c>
      <c r="C190" s="39" t="s">
        <v>13</v>
      </c>
      <c r="D190" s="39">
        <f t="shared" si="2"/>
        <v>1</v>
      </c>
      <c r="E190" s="39" t="s">
        <v>51</v>
      </c>
      <c r="F190" s="39" t="s">
        <v>306</v>
      </c>
      <c r="G190" s="39" t="s">
        <v>16</v>
      </c>
      <c r="H190" s="41">
        <v>45517</v>
      </c>
      <c r="I190" s="39" t="s">
        <v>307</v>
      </c>
      <c r="J190" s="39"/>
    </row>
    <row r="191" spans="1:10" ht="31.5" x14ac:dyDescent="0.25">
      <c r="A191" s="39">
        <v>24078171</v>
      </c>
      <c r="B191" s="39" t="s">
        <v>185</v>
      </c>
      <c r="C191" s="39" t="s">
        <v>13</v>
      </c>
      <c r="D191" s="39">
        <f t="shared" si="2"/>
        <v>1</v>
      </c>
      <c r="E191" s="39" t="s">
        <v>51</v>
      </c>
      <c r="F191" s="39" t="s">
        <v>308</v>
      </c>
      <c r="G191" s="39" t="s">
        <v>16</v>
      </c>
      <c r="H191" s="41">
        <v>45517</v>
      </c>
      <c r="I191" s="39" t="s">
        <v>309</v>
      </c>
      <c r="J191" s="39"/>
    </row>
    <row r="192" spans="1:10" ht="31.5" x14ac:dyDescent="0.25">
      <c r="A192" s="39">
        <v>24088572</v>
      </c>
      <c r="B192" s="39" t="s">
        <v>185</v>
      </c>
      <c r="C192" s="39" t="s">
        <v>13</v>
      </c>
      <c r="D192" s="39">
        <f t="shared" si="2"/>
        <v>1</v>
      </c>
      <c r="E192" s="39" t="s">
        <v>51</v>
      </c>
      <c r="F192" s="39" t="s">
        <v>308</v>
      </c>
      <c r="G192" s="39" t="s">
        <v>16</v>
      </c>
      <c r="H192" s="41">
        <v>45517</v>
      </c>
      <c r="I192" s="39" t="s">
        <v>309</v>
      </c>
      <c r="J192" s="39"/>
    </row>
    <row r="193" spans="1:10" ht="31.5" x14ac:dyDescent="0.25">
      <c r="A193" s="39">
        <v>24078110</v>
      </c>
      <c r="B193" s="39" t="s">
        <v>185</v>
      </c>
      <c r="C193" s="39" t="s">
        <v>13</v>
      </c>
      <c r="D193" s="39">
        <f t="shared" si="2"/>
        <v>1</v>
      </c>
      <c r="E193" s="39" t="s">
        <v>51</v>
      </c>
      <c r="F193" s="39" t="s">
        <v>168</v>
      </c>
      <c r="G193" s="39" t="s">
        <v>16</v>
      </c>
      <c r="H193" s="41">
        <v>45517</v>
      </c>
      <c r="I193" s="39" t="s">
        <v>310</v>
      </c>
      <c r="J193" s="39"/>
    </row>
    <row r="194" spans="1:10" ht="31.5" x14ac:dyDescent="0.25">
      <c r="A194" s="39">
        <v>20100968</v>
      </c>
      <c r="B194" s="39" t="s">
        <v>311</v>
      </c>
      <c r="C194" s="39" t="s">
        <v>227</v>
      </c>
      <c r="D194" s="39">
        <f t="shared" ref="D194:D251" si="3">COUNTIF(A:A,A194)</f>
        <v>1</v>
      </c>
      <c r="E194" s="39" t="s">
        <v>14</v>
      </c>
      <c r="F194" s="39" t="s">
        <v>312</v>
      </c>
      <c r="G194" s="39" t="s">
        <v>16</v>
      </c>
      <c r="H194" s="41">
        <v>45519</v>
      </c>
      <c r="I194" s="39" t="s">
        <v>313</v>
      </c>
      <c r="J194" s="39"/>
    </row>
    <row r="195" spans="1:10" ht="31.5" x14ac:dyDescent="0.25">
      <c r="A195" s="39">
        <v>22050797</v>
      </c>
      <c r="B195" s="39" t="s">
        <v>226</v>
      </c>
      <c r="C195" s="39" t="s">
        <v>227</v>
      </c>
      <c r="D195" s="39">
        <f t="shared" si="3"/>
        <v>1</v>
      </c>
      <c r="E195" s="39" t="s">
        <v>14</v>
      </c>
      <c r="F195" s="39" t="s">
        <v>288</v>
      </c>
      <c r="G195" s="39" t="s">
        <v>16</v>
      </c>
      <c r="H195" s="41">
        <v>45519</v>
      </c>
      <c r="I195" s="39" t="s">
        <v>314</v>
      </c>
      <c r="J195" s="39"/>
    </row>
    <row r="196" spans="1:10" ht="31.5" x14ac:dyDescent="0.25">
      <c r="A196" s="39">
        <v>22050668</v>
      </c>
      <c r="B196" s="39" t="s">
        <v>226</v>
      </c>
      <c r="C196" s="39" t="s">
        <v>227</v>
      </c>
      <c r="D196" s="39">
        <f t="shared" si="3"/>
        <v>1</v>
      </c>
      <c r="E196" s="39" t="s">
        <v>14</v>
      </c>
      <c r="F196" s="39" t="s">
        <v>312</v>
      </c>
      <c r="G196" s="39" t="s">
        <v>16</v>
      </c>
      <c r="H196" s="41">
        <v>45519</v>
      </c>
      <c r="I196" s="39" t="s">
        <v>313</v>
      </c>
      <c r="J196" s="39"/>
    </row>
    <row r="197" spans="1:10" ht="31.5" x14ac:dyDescent="0.25">
      <c r="A197" s="39">
        <v>22050581</v>
      </c>
      <c r="B197" s="39" t="s">
        <v>311</v>
      </c>
      <c r="C197" s="39" t="s">
        <v>227</v>
      </c>
      <c r="D197" s="39">
        <f t="shared" si="3"/>
        <v>1</v>
      </c>
      <c r="E197" s="39" t="s">
        <v>14</v>
      </c>
      <c r="F197" s="39" t="s">
        <v>312</v>
      </c>
      <c r="G197" s="39" t="s">
        <v>16</v>
      </c>
      <c r="H197" s="41">
        <v>45519</v>
      </c>
      <c r="I197" s="39" t="s">
        <v>313</v>
      </c>
      <c r="J197" s="39"/>
    </row>
    <row r="198" spans="1:10" ht="31.5" x14ac:dyDescent="0.25">
      <c r="A198" s="39">
        <v>22050667</v>
      </c>
      <c r="B198" s="39" t="s">
        <v>226</v>
      </c>
      <c r="C198" s="39" t="s">
        <v>227</v>
      </c>
      <c r="D198" s="39">
        <f t="shared" si="3"/>
        <v>1</v>
      </c>
      <c r="E198" s="39" t="s">
        <v>14</v>
      </c>
      <c r="F198" s="39" t="s">
        <v>312</v>
      </c>
      <c r="G198" s="39" t="s">
        <v>16</v>
      </c>
      <c r="H198" s="41">
        <v>45519</v>
      </c>
      <c r="I198" s="39" t="s">
        <v>313</v>
      </c>
      <c r="J198" s="39"/>
    </row>
    <row r="199" spans="1:10" ht="31.5" x14ac:dyDescent="0.25">
      <c r="A199" s="39">
        <v>22060101</v>
      </c>
      <c r="B199" s="39" t="s">
        <v>226</v>
      </c>
      <c r="C199" s="39" t="s">
        <v>227</v>
      </c>
      <c r="D199" s="39">
        <f t="shared" si="3"/>
        <v>1</v>
      </c>
      <c r="E199" s="39" t="s">
        <v>14</v>
      </c>
      <c r="F199" s="39" t="s">
        <v>312</v>
      </c>
      <c r="G199" s="39" t="s">
        <v>16</v>
      </c>
      <c r="H199" s="41">
        <v>45519</v>
      </c>
      <c r="I199" s="39" t="s">
        <v>315</v>
      </c>
      <c r="J199" s="39"/>
    </row>
    <row r="200" spans="1:10" ht="31.5" x14ac:dyDescent="0.25">
      <c r="A200" s="39">
        <v>20100966</v>
      </c>
      <c r="B200" s="39" t="s">
        <v>311</v>
      </c>
      <c r="C200" s="39" t="s">
        <v>227</v>
      </c>
      <c r="D200" s="39">
        <f t="shared" si="3"/>
        <v>1</v>
      </c>
      <c r="E200" s="39" t="s">
        <v>14</v>
      </c>
      <c r="F200" s="39" t="s">
        <v>312</v>
      </c>
      <c r="G200" s="39" t="s">
        <v>16</v>
      </c>
      <c r="H200" s="41">
        <v>45519</v>
      </c>
      <c r="I200" s="39" t="s">
        <v>313</v>
      </c>
      <c r="J200" s="39"/>
    </row>
    <row r="201" spans="1:10" ht="31.5" x14ac:dyDescent="0.25">
      <c r="A201" s="39">
        <v>21051022</v>
      </c>
      <c r="B201" s="39" t="s">
        <v>316</v>
      </c>
      <c r="C201" s="39" t="s">
        <v>243</v>
      </c>
      <c r="D201" s="39">
        <f t="shared" si="3"/>
        <v>1</v>
      </c>
      <c r="E201" s="39" t="s">
        <v>14</v>
      </c>
      <c r="F201" s="39" t="s">
        <v>317</v>
      </c>
      <c r="G201" s="39" t="s">
        <v>16</v>
      </c>
      <c r="H201" s="41">
        <v>45519</v>
      </c>
      <c r="I201" s="39" t="s">
        <v>318</v>
      </c>
      <c r="J201" s="39"/>
    </row>
    <row r="202" spans="1:10" ht="31.5" x14ac:dyDescent="0.25">
      <c r="A202" s="39">
        <v>24055527</v>
      </c>
      <c r="B202" s="39" t="s">
        <v>242</v>
      </c>
      <c r="C202" s="39" t="s">
        <v>243</v>
      </c>
      <c r="D202" s="39">
        <f t="shared" si="3"/>
        <v>1</v>
      </c>
      <c r="E202" s="39" t="s">
        <v>14</v>
      </c>
      <c r="F202" s="39" t="s">
        <v>312</v>
      </c>
      <c r="G202" s="39" t="s">
        <v>16</v>
      </c>
      <c r="H202" s="41">
        <v>45519</v>
      </c>
      <c r="I202" s="39" t="s">
        <v>319</v>
      </c>
      <c r="J202" s="39"/>
    </row>
    <row r="203" spans="1:10" ht="31.5" x14ac:dyDescent="0.25">
      <c r="A203" s="39">
        <v>22050907</v>
      </c>
      <c r="B203" s="39" t="s">
        <v>316</v>
      </c>
      <c r="C203" s="39" t="s">
        <v>243</v>
      </c>
      <c r="D203" s="39">
        <f t="shared" si="3"/>
        <v>1</v>
      </c>
      <c r="E203" s="39" t="s">
        <v>14</v>
      </c>
      <c r="F203" s="39" t="s">
        <v>320</v>
      </c>
      <c r="G203" s="39" t="s">
        <v>16</v>
      </c>
      <c r="H203" s="41">
        <v>45519</v>
      </c>
      <c r="I203" s="39" t="s">
        <v>321</v>
      </c>
      <c r="J203" s="39"/>
    </row>
    <row r="204" spans="1:10" ht="31.5" x14ac:dyDescent="0.25">
      <c r="A204" s="39">
        <v>23085509</v>
      </c>
      <c r="B204" s="39" t="s">
        <v>242</v>
      </c>
      <c r="C204" s="39" t="s">
        <v>243</v>
      </c>
      <c r="D204" s="39">
        <f t="shared" si="3"/>
        <v>1</v>
      </c>
      <c r="E204" s="39" t="s">
        <v>14</v>
      </c>
      <c r="F204" s="39" t="s">
        <v>320</v>
      </c>
      <c r="G204" s="39" t="s">
        <v>16</v>
      </c>
      <c r="H204" s="41">
        <v>45519</v>
      </c>
      <c r="I204" s="39" t="s">
        <v>321</v>
      </c>
      <c r="J204" s="39"/>
    </row>
    <row r="205" spans="1:10" ht="31.5" x14ac:dyDescent="0.25">
      <c r="A205" s="39">
        <v>21010285</v>
      </c>
      <c r="B205" s="39" t="s">
        <v>316</v>
      </c>
      <c r="C205" s="39" t="s">
        <v>243</v>
      </c>
      <c r="D205" s="39">
        <f t="shared" si="3"/>
        <v>1</v>
      </c>
      <c r="E205" s="39" t="s">
        <v>14</v>
      </c>
      <c r="F205" s="39" t="s">
        <v>288</v>
      </c>
      <c r="G205" s="39" t="s">
        <v>16</v>
      </c>
      <c r="H205" s="41">
        <v>45519</v>
      </c>
      <c r="I205" s="39" t="s">
        <v>127</v>
      </c>
      <c r="J205" s="39"/>
    </row>
    <row r="206" spans="1:10" ht="31.5" x14ac:dyDescent="0.25">
      <c r="A206" s="39">
        <v>24055541</v>
      </c>
      <c r="B206" s="39" t="s">
        <v>242</v>
      </c>
      <c r="C206" s="39" t="s">
        <v>243</v>
      </c>
      <c r="D206" s="39">
        <f t="shared" si="3"/>
        <v>1</v>
      </c>
      <c r="E206" s="39" t="s">
        <v>14</v>
      </c>
      <c r="F206" s="39" t="s">
        <v>312</v>
      </c>
      <c r="G206" s="39" t="s">
        <v>16</v>
      </c>
      <c r="H206" s="41">
        <v>45519</v>
      </c>
      <c r="I206" s="39" t="s">
        <v>322</v>
      </c>
      <c r="J206" s="39"/>
    </row>
    <row r="207" spans="1:10" ht="31.5" x14ac:dyDescent="0.25">
      <c r="A207" s="39">
        <v>21010284</v>
      </c>
      <c r="B207" s="39" t="s">
        <v>316</v>
      </c>
      <c r="C207" s="39" t="s">
        <v>243</v>
      </c>
      <c r="D207" s="39">
        <f t="shared" si="3"/>
        <v>1</v>
      </c>
      <c r="E207" s="39" t="s">
        <v>14</v>
      </c>
      <c r="F207" s="39" t="s">
        <v>288</v>
      </c>
      <c r="G207" s="39" t="s">
        <v>16</v>
      </c>
      <c r="H207" s="41">
        <v>45519</v>
      </c>
      <c r="I207" s="39" t="s">
        <v>127</v>
      </c>
      <c r="J207" s="39"/>
    </row>
    <row r="208" spans="1:10" ht="31.5" x14ac:dyDescent="0.25">
      <c r="A208" s="39">
        <v>22050908</v>
      </c>
      <c r="B208" s="39" t="s">
        <v>316</v>
      </c>
      <c r="C208" s="39" t="s">
        <v>243</v>
      </c>
      <c r="D208" s="39">
        <f t="shared" si="3"/>
        <v>1</v>
      </c>
      <c r="E208" s="39" t="s">
        <v>14</v>
      </c>
      <c r="F208" s="39" t="s">
        <v>288</v>
      </c>
      <c r="G208" s="39" t="s">
        <v>16</v>
      </c>
      <c r="H208" s="41">
        <v>45519</v>
      </c>
      <c r="I208" s="39" t="s">
        <v>127</v>
      </c>
      <c r="J208" s="39"/>
    </row>
    <row r="209" spans="1:10" ht="31.5" x14ac:dyDescent="0.25">
      <c r="A209" s="39">
        <v>21020021</v>
      </c>
      <c r="B209" s="39" t="s">
        <v>316</v>
      </c>
      <c r="C209" s="39" t="s">
        <v>243</v>
      </c>
      <c r="D209" s="39">
        <f t="shared" si="3"/>
        <v>1</v>
      </c>
      <c r="E209" s="39" t="s">
        <v>14</v>
      </c>
      <c r="F209" s="39" t="s">
        <v>312</v>
      </c>
      <c r="G209" s="39" t="s">
        <v>16</v>
      </c>
      <c r="H209" s="41">
        <v>45519</v>
      </c>
      <c r="I209" s="39" t="s">
        <v>323</v>
      </c>
      <c r="J209" s="39"/>
    </row>
    <row r="210" spans="1:10" ht="31.5" x14ac:dyDescent="0.25">
      <c r="A210" s="39">
        <v>22050906</v>
      </c>
      <c r="B210" s="39" t="s">
        <v>316</v>
      </c>
      <c r="C210" s="39" t="s">
        <v>243</v>
      </c>
      <c r="D210" s="39">
        <f t="shared" si="3"/>
        <v>1</v>
      </c>
      <c r="E210" s="39" t="s">
        <v>14</v>
      </c>
      <c r="F210" s="39" t="s">
        <v>312</v>
      </c>
      <c r="G210" s="39" t="s">
        <v>16</v>
      </c>
      <c r="H210" s="41">
        <v>45519</v>
      </c>
      <c r="I210" s="39" t="s">
        <v>323</v>
      </c>
      <c r="J210" s="39"/>
    </row>
    <row r="211" spans="1:10" ht="31.5" x14ac:dyDescent="0.25">
      <c r="A211" s="39">
        <v>24088628</v>
      </c>
      <c r="B211" s="39" t="s">
        <v>236</v>
      </c>
      <c r="C211" s="39" t="s">
        <v>237</v>
      </c>
      <c r="D211" s="39">
        <f t="shared" si="3"/>
        <v>1</v>
      </c>
      <c r="E211" s="39" t="s">
        <v>51</v>
      </c>
      <c r="F211" s="39" t="s">
        <v>324</v>
      </c>
      <c r="G211" s="39" t="s">
        <v>16</v>
      </c>
      <c r="H211" s="41">
        <v>45519</v>
      </c>
      <c r="I211" s="39" t="s">
        <v>325</v>
      </c>
      <c r="J211" s="39"/>
    </row>
    <row r="212" spans="1:10" ht="31.5" x14ac:dyDescent="0.25">
      <c r="A212" s="39">
        <v>24076351</v>
      </c>
      <c r="B212" s="39" t="s">
        <v>236</v>
      </c>
      <c r="C212" s="39" t="s">
        <v>237</v>
      </c>
      <c r="D212" s="39">
        <f t="shared" si="3"/>
        <v>1</v>
      </c>
      <c r="E212" s="39" t="s">
        <v>51</v>
      </c>
      <c r="F212" s="39" t="s">
        <v>326</v>
      </c>
      <c r="G212" s="39" t="s">
        <v>16</v>
      </c>
      <c r="H212" s="41">
        <v>45519</v>
      </c>
      <c r="I212" s="39" t="s">
        <v>327</v>
      </c>
      <c r="J212" s="39"/>
    </row>
    <row r="213" spans="1:10" ht="31.5" x14ac:dyDescent="0.25">
      <c r="A213" s="39">
        <v>20040267</v>
      </c>
      <c r="B213" s="39" t="s">
        <v>328</v>
      </c>
      <c r="C213" s="39" t="s">
        <v>237</v>
      </c>
      <c r="D213" s="39">
        <f t="shared" si="3"/>
        <v>1</v>
      </c>
      <c r="E213" s="39" t="s">
        <v>14</v>
      </c>
      <c r="F213" s="39" t="s">
        <v>329</v>
      </c>
      <c r="G213" s="39" t="s">
        <v>16</v>
      </c>
      <c r="H213" s="41">
        <v>45519</v>
      </c>
      <c r="I213" s="39" t="s">
        <v>330</v>
      </c>
      <c r="J213" s="39"/>
    </row>
    <row r="214" spans="1:10" ht="31.5" x14ac:dyDescent="0.25">
      <c r="A214" s="39">
        <v>20040341</v>
      </c>
      <c r="B214" s="39" t="s">
        <v>328</v>
      </c>
      <c r="C214" s="39" t="s">
        <v>237</v>
      </c>
      <c r="D214" s="39">
        <f t="shared" si="3"/>
        <v>1</v>
      </c>
      <c r="E214" s="39" t="s">
        <v>14</v>
      </c>
      <c r="F214" s="39" t="s">
        <v>288</v>
      </c>
      <c r="G214" s="39" t="s">
        <v>16</v>
      </c>
      <c r="H214" s="41">
        <v>45519</v>
      </c>
      <c r="I214" s="39" t="s">
        <v>127</v>
      </c>
      <c r="J214" s="39"/>
    </row>
    <row r="215" spans="1:10" ht="31.5" x14ac:dyDescent="0.25">
      <c r="A215" s="39">
        <v>20050875</v>
      </c>
      <c r="B215" s="39" t="s">
        <v>328</v>
      </c>
      <c r="C215" s="39" t="s">
        <v>237</v>
      </c>
      <c r="D215" s="39">
        <f t="shared" si="3"/>
        <v>1</v>
      </c>
      <c r="E215" s="39" t="s">
        <v>14</v>
      </c>
      <c r="F215" s="39" t="s">
        <v>284</v>
      </c>
      <c r="G215" s="39" t="s">
        <v>16</v>
      </c>
      <c r="H215" s="41">
        <v>45519</v>
      </c>
      <c r="I215" s="39" t="s">
        <v>285</v>
      </c>
      <c r="J215" s="39"/>
    </row>
    <row r="216" spans="1:10" ht="31.5" x14ac:dyDescent="0.25">
      <c r="A216" s="39">
        <v>20040332</v>
      </c>
      <c r="B216" s="39" t="s">
        <v>328</v>
      </c>
      <c r="C216" s="39" t="s">
        <v>237</v>
      </c>
      <c r="D216" s="39">
        <f t="shared" si="3"/>
        <v>1</v>
      </c>
      <c r="E216" s="39" t="s">
        <v>14</v>
      </c>
      <c r="F216" s="39" t="s">
        <v>288</v>
      </c>
      <c r="G216" s="39" t="s">
        <v>16</v>
      </c>
      <c r="H216" s="41">
        <v>45519</v>
      </c>
      <c r="I216" s="39" t="s">
        <v>127</v>
      </c>
      <c r="J216" s="39"/>
    </row>
    <row r="217" spans="1:10" ht="31.5" x14ac:dyDescent="0.25">
      <c r="A217" s="39">
        <v>20040335</v>
      </c>
      <c r="B217" s="39" t="s">
        <v>328</v>
      </c>
      <c r="C217" s="39" t="s">
        <v>237</v>
      </c>
      <c r="D217" s="39">
        <f t="shared" si="3"/>
        <v>1</v>
      </c>
      <c r="E217" s="39" t="s">
        <v>14</v>
      </c>
      <c r="F217" s="39" t="s">
        <v>288</v>
      </c>
      <c r="G217" s="39" t="s">
        <v>16</v>
      </c>
      <c r="H217" s="41">
        <v>45519</v>
      </c>
      <c r="I217" s="39" t="s">
        <v>127</v>
      </c>
      <c r="J217" s="39"/>
    </row>
    <row r="218" spans="1:10" ht="31.5" x14ac:dyDescent="0.25">
      <c r="A218" s="39">
        <v>24077524</v>
      </c>
      <c r="B218" s="39" t="s">
        <v>226</v>
      </c>
      <c r="C218" s="39" t="s">
        <v>227</v>
      </c>
      <c r="D218" s="39">
        <f t="shared" si="3"/>
        <v>1</v>
      </c>
      <c r="E218" s="39" t="s">
        <v>51</v>
      </c>
      <c r="F218" s="39" t="s">
        <v>331</v>
      </c>
      <c r="G218" s="39" t="s">
        <v>16</v>
      </c>
      <c r="H218" s="41">
        <v>45519</v>
      </c>
      <c r="I218" s="39" t="s">
        <v>332</v>
      </c>
      <c r="J218" s="39"/>
    </row>
    <row r="219" spans="1:10" ht="31.5" x14ac:dyDescent="0.25">
      <c r="A219" s="39">
        <v>23112044</v>
      </c>
      <c r="B219" s="39" t="s">
        <v>311</v>
      </c>
      <c r="C219" s="39" t="s">
        <v>227</v>
      </c>
      <c r="D219" s="39">
        <f t="shared" si="3"/>
        <v>1</v>
      </c>
      <c r="E219" s="39" t="s">
        <v>51</v>
      </c>
      <c r="F219" s="39" t="s">
        <v>288</v>
      </c>
      <c r="G219" s="39" t="s">
        <v>16</v>
      </c>
      <c r="H219" s="41">
        <v>45519</v>
      </c>
      <c r="I219" s="39" t="s">
        <v>333</v>
      </c>
      <c r="J219" s="39"/>
    </row>
    <row r="220" spans="1:10" ht="31.5" x14ac:dyDescent="0.25">
      <c r="A220" s="39">
        <v>24078232</v>
      </c>
      <c r="B220" s="39" t="s">
        <v>211</v>
      </c>
      <c r="C220" s="39" t="s">
        <v>112</v>
      </c>
      <c r="D220" s="39">
        <f t="shared" si="3"/>
        <v>1</v>
      </c>
      <c r="E220" s="39" t="s">
        <v>51</v>
      </c>
      <c r="F220" s="39" t="s">
        <v>334</v>
      </c>
      <c r="G220" s="39" t="s">
        <v>16</v>
      </c>
      <c r="H220" s="41">
        <v>45519</v>
      </c>
      <c r="I220" s="39" t="s">
        <v>335</v>
      </c>
      <c r="J220" s="39"/>
    </row>
    <row r="221" spans="1:10" ht="31.5" x14ac:dyDescent="0.25">
      <c r="A221" s="39">
        <v>24078273</v>
      </c>
      <c r="B221" s="39" t="s">
        <v>211</v>
      </c>
      <c r="C221" s="39" t="s">
        <v>112</v>
      </c>
      <c r="D221" s="39">
        <f t="shared" si="3"/>
        <v>1</v>
      </c>
      <c r="E221" s="39" t="s">
        <v>51</v>
      </c>
      <c r="F221" s="39" t="s">
        <v>336</v>
      </c>
      <c r="G221" s="39" t="s">
        <v>16</v>
      </c>
      <c r="H221" s="41">
        <v>45519</v>
      </c>
      <c r="I221" s="39" t="s">
        <v>337</v>
      </c>
      <c r="J221" s="39"/>
    </row>
    <row r="222" spans="1:10" ht="31.5" x14ac:dyDescent="0.25">
      <c r="A222" s="39">
        <v>24078280</v>
      </c>
      <c r="B222" s="39" t="s">
        <v>211</v>
      </c>
      <c r="C222" s="39" t="s">
        <v>112</v>
      </c>
      <c r="D222" s="39">
        <f t="shared" si="3"/>
        <v>1</v>
      </c>
      <c r="E222" s="39" t="s">
        <v>51</v>
      </c>
      <c r="F222" s="39" t="s">
        <v>334</v>
      </c>
      <c r="G222" s="39" t="s">
        <v>16</v>
      </c>
      <c r="H222" s="41">
        <v>45519</v>
      </c>
      <c r="I222" s="39" t="s">
        <v>338</v>
      </c>
      <c r="J222" s="39"/>
    </row>
    <row r="223" spans="1:10" ht="31.5" x14ac:dyDescent="0.25">
      <c r="A223" s="39">
        <v>24078332</v>
      </c>
      <c r="B223" s="39" t="s">
        <v>211</v>
      </c>
      <c r="C223" s="39" t="s">
        <v>112</v>
      </c>
      <c r="D223" s="39">
        <f t="shared" si="3"/>
        <v>1</v>
      </c>
      <c r="E223" s="39" t="s">
        <v>51</v>
      </c>
      <c r="F223" s="39" t="s">
        <v>334</v>
      </c>
      <c r="G223" s="39" t="s">
        <v>16</v>
      </c>
      <c r="H223" s="41">
        <v>45519</v>
      </c>
      <c r="I223" s="39" t="s">
        <v>338</v>
      </c>
      <c r="J223" s="39"/>
    </row>
    <row r="224" spans="1:10" ht="31.5" x14ac:dyDescent="0.25">
      <c r="A224" s="39">
        <v>24078369</v>
      </c>
      <c r="B224" s="39" t="s">
        <v>211</v>
      </c>
      <c r="C224" s="39" t="s">
        <v>112</v>
      </c>
      <c r="D224" s="39">
        <f t="shared" si="3"/>
        <v>1</v>
      </c>
      <c r="E224" s="39" t="s">
        <v>51</v>
      </c>
      <c r="F224" s="39" t="s">
        <v>334</v>
      </c>
      <c r="G224" s="39" t="s">
        <v>16</v>
      </c>
      <c r="H224" s="41">
        <v>45519</v>
      </c>
      <c r="I224" s="39" t="s">
        <v>338</v>
      </c>
      <c r="J224" s="39"/>
    </row>
    <row r="225" spans="1:10" ht="31.5" x14ac:dyDescent="0.25">
      <c r="A225" s="39">
        <v>24078233</v>
      </c>
      <c r="B225" s="39" t="s">
        <v>211</v>
      </c>
      <c r="C225" s="39" t="s">
        <v>112</v>
      </c>
      <c r="D225" s="39">
        <f t="shared" si="3"/>
        <v>1</v>
      </c>
      <c r="E225" s="39" t="s">
        <v>51</v>
      </c>
      <c r="F225" s="39" t="s">
        <v>334</v>
      </c>
      <c r="G225" s="39" t="s">
        <v>16</v>
      </c>
      <c r="H225" s="41">
        <v>45519</v>
      </c>
      <c r="I225" s="39" t="s">
        <v>335</v>
      </c>
      <c r="J225" s="39"/>
    </row>
    <row r="226" spans="1:10" ht="31.5" x14ac:dyDescent="0.25">
      <c r="A226" s="39">
        <v>24076125</v>
      </c>
      <c r="B226" s="39" t="s">
        <v>339</v>
      </c>
      <c r="C226" s="39" t="s">
        <v>340</v>
      </c>
      <c r="D226" s="39">
        <f t="shared" si="3"/>
        <v>1</v>
      </c>
      <c r="E226" s="39" t="s">
        <v>51</v>
      </c>
      <c r="F226" s="39" t="s">
        <v>341</v>
      </c>
      <c r="G226" s="39" t="s">
        <v>16</v>
      </c>
      <c r="H226" s="41">
        <v>45520</v>
      </c>
      <c r="I226" s="39" t="s">
        <v>342</v>
      </c>
      <c r="J226" s="42"/>
    </row>
    <row r="227" spans="1:10" ht="31.5" x14ac:dyDescent="0.25">
      <c r="A227" s="39">
        <v>23052074</v>
      </c>
      <c r="B227" s="39" t="s">
        <v>339</v>
      </c>
      <c r="C227" s="39" t="s">
        <v>340</v>
      </c>
      <c r="D227" s="39">
        <f t="shared" si="3"/>
        <v>1</v>
      </c>
      <c r="E227" s="39" t="s">
        <v>51</v>
      </c>
      <c r="F227" s="39" t="s">
        <v>341</v>
      </c>
      <c r="G227" s="39" t="s">
        <v>16</v>
      </c>
      <c r="H227" s="41">
        <v>45520</v>
      </c>
      <c r="I227" s="39" t="s">
        <v>342</v>
      </c>
      <c r="J227" s="42"/>
    </row>
    <row r="228" spans="1:10" ht="31.5" x14ac:dyDescent="0.25">
      <c r="A228" s="39">
        <v>24017215</v>
      </c>
      <c r="B228" s="39" t="s">
        <v>339</v>
      </c>
      <c r="C228" s="39" t="s">
        <v>340</v>
      </c>
      <c r="D228" s="39">
        <f t="shared" si="3"/>
        <v>1</v>
      </c>
      <c r="E228" s="39" t="s">
        <v>51</v>
      </c>
      <c r="F228" s="39" t="s">
        <v>341</v>
      </c>
      <c r="G228" s="39" t="s">
        <v>16</v>
      </c>
      <c r="H228" s="41">
        <v>45520</v>
      </c>
      <c r="I228" s="39" t="s">
        <v>343</v>
      </c>
      <c r="J228" s="42"/>
    </row>
    <row r="229" spans="1:10" ht="31.5" x14ac:dyDescent="0.25">
      <c r="A229" s="39">
        <v>24017273</v>
      </c>
      <c r="B229" s="39" t="s">
        <v>339</v>
      </c>
      <c r="C229" s="39" t="s">
        <v>340</v>
      </c>
      <c r="D229" s="39">
        <f t="shared" si="3"/>
        <v>1</v>
      </c>
      <c r="E229" s="39" t="s">
        <v>51</v>
      </c>
      <c r="F229" s="39" t="s">
        <v>341</v>
      </c>
      <c r="G229" s="39" t="s">
        <v>16</v>
      </c>
      <c r="H229" s="41">
        <v>45520</v>
      </c>
      <c r="I229" s="39" t="s">
        <v>343</v>
      </c>
      <c r="J229" s="42"/>
    </row>
    <row r="230" spans="1:10" ht="31.5" x14ac:dyDescent="0.25">
      <c r="A230" s="39">
        <v>24075967</v>
      </c>
      <c r="B230" s="39" t="s">
        <v>257</v>
      </c>
      <c r="C230" s="39" t="s">
        <v>258</v>
      </c>
      <c r="D230" s="39">
        <f t="shared" si="3"/>
        <v>1</v>
      </c>
      <c r="E230" s="39" t="s">
        <v>51</v>
      </c>
      <c r="F230" s="39" t="s">
        <v>331</v>
      </c>
      <c r="G230" s="39" t="s">
        <v>16</v>
      </c>
      <c r="H230" s="41">
        <v>45520</v>
      </c>
      <c r="I230" s="39" t="s">
        <v>344</v>
      </c>
      <c r="J230" s="42"/>
    </row>
    <row r="231" spans="1:10" ht="31.5" x14ac:dyDescent="0.25">
      <c r="A231" s="39">
        <v>24078095</v>
      </c>
      <c r="B231" s="39" t="s">
        <v>257</v>
      </c>
      <c r="C231" s="39" t="s">
        <v>258</v>
      </c>
      <c r="D231" s="39">
        <f t="shared" si="3"/>
        <v>1</v>
      </c>
      <c r="E231" s="39" t="s">
        <v>51</v>
      </c>
      <c r="F231" s="39" t="s">
        <v>345</v>
      </c>
      <c r="G231" s="39" t="s">
        <v>16</v>
      </c>
      <c r="H231" s="41">
        <v>45520</v>
      </c>
      <c r="I231" s="39" t="s">
        <v>346</v>
      </c>
      <c r="J231" s="42"/>
    </row>
    <row r="232" spans="1:10" ht="31.5" x14ac:dyDescent="0.25">
      <c r="A232" s="39">
        <v>24078066</v>
      </c>
      <c r="B232" s="39" t="s">
        <v>257</v>
      </c>
      <c r="C232" s="39" t="s">
        <v>258</v>
      </c>
      <c r="D232" s="39">
        <f t="shared" si="3"/>
        <v>1</v>
      </c>
      <c r="E232" s="39" t="s">
        <v>51</v>
      </c>
      <c r="F232" s="39" t="s">
        <v>347</v>
      </c>
      <c r="G232" s="39" t="s">
        <v>16</v>
      </c>
      <c r="H232" s="41">
        <v>45520</v>
      </c>
      <c r="I232" s="39" t="s">
        <v>348</v>
      </c>
      <c r="J232" s="42"/>
    </row>
    <row r="233" spans="1:10" ht="31.5" x14ac:dyDescent="0.25">
      <c r="A233" s="39">
        <v>23051743</v>
      </c>
      <c r="B233" s="39" t="s">
        <v>349</v>
      </c>
      <c r="C233" s="39" t="s">
        <v>258</v>
      </c>
      <c r="D233" s="39">
        <f t="shared" si="3"/>
        <v>1</v>
      </c>
      <c r="E233" s="39" t="s">
        <v>51</v>
      </c>
      <c r="F233" s="39" t="s">
        <v>350</v>
      </c>
      <c r="G233" s="39" t="s">
        <v>16</v>
      </c>
      <c r="H233" s="41">
        <v>45520</v>
      </c>
      <c r="I233" s="39" t="s">
        <v>351</v>
      </c>
      <c r="J233" s="39"/>
    </row>
    <row r="234" spans="1:10" ht="31.5" x14ac:dyDescent="0.25">
      <c r="A234" s="39">
        <v>23105340</v>
      </c>
      <c r="B234" s="39" t="s">
        <v>349</v>
      </c>
      <c r="C234" s="39" t="s">
        <v>258</v>
      </c>
      <c r="D234" s="39">
        <f t="shared" si="3"/>
        <v>1</v>
      </c>
      <c r="E234" s="39" t="s">
        <v>51</v>
      </c>
      <c r="F234" s="39" t="s">
        <v>352</v>
      </c>
      <c r="G234" s="39" t="s">
        <v>16</v>
      </c>
      <c r="H234" s="41">
        <v>45520</v>
      </c>
      <c r="I234" s="39" t="s">
        <v>353</v>
      </c>
      <c r="J234" s="39"/>
    </row>
    <row r="235" spans="1:10" ht="31.5" x14ac:dyDescent="0.25">
      <c r="A235" s="39">
        <v>24088714</v>
      </c>
      <c r="B235" s="39" t="s">
        <v>185</v>
      </c>
      <c r="C235" s="39" t="s">
        <v>13</v>
      </c>
      <c r="D235" s="39">
        <f t="shared" si="3"/>
        <v>1</v>
      </c>
      <c r="E235" s="39" t="s">
        <v>51</v>
      </c>
      <c r="F235" s="39" t="s">
        <v>29</v>
      </c>
      <c r="G235" s="39" t="s">
        <v>16</v>
      </c>
      <c r="H235" s="41">
        <v>45530</v>
      </c>
      <c r="I235" s="39" t="s">
        <v>354</v>
      </c>
      <c r="J235" s="39"/>
    </row>
    <row r="236" spans="1:10" ht="31.5" x14ac:dyDescent="0.25">
      <c r="A236" s="39">
        <v>24088801</v>
      </c>
      <c r="B236" s="39" t="s">
        <v>185</v>
      </c>
      <c r="C236" s="39" t="s">
        <v>13</v>
      </c>
      <c r="D236" s="39">
        <f t="shared" si="3"/>
        <v>1</v>
      </c>
      <c r="E236" s="39" t="s">
        <v>51</v>
      </c>
      <c r="F236" s="39" t="s">
        <v>29</v>
      </c>
      <c r="G236" s="39" t="s">
        <v>16</v>
      </c>
      <c r="H236" s="41">
        <v>45530</v>
      </c>
      <c r="I236" s="39" t="s">
        <v>355</v>
      </c>
      <c r="J236" s="39"/>
    </row>
    <row r="237" spans="1:10" ht="15.75" x14ac:dyDescent="0.25">
      <c r="A237" s="39">
        <v>24089000</v>
      </c>
      <c r="B237" s="39" t="s">
        <v>185</v>
      </c>
      <c r="C237" s="39" t="s">
        <v>13</v>
      </c>
      <c r="D237" s="39">
        <f t="shared" si="3"/>
        <v>1</v>
      </c>
      <c r="E237" s="39" t="s">
        <v>51</v>
      </c>
      <c r="F237" s="39" t="s">
        <v>15</v>
      </c>
      <c r="G237" s="39" t="s">
        <v>16</v>
      </c>
      <c r="H237" s="41">
        <v>45538</v>
      </c>
      <c r="I237" s="39" t="s">
        <v>356</v>
      </c>
      <c r="J237" s="39"/>
    </row>
    <row r="238" spans="1:10" ht="31.5" x14ac:dyDescent="0.25">
      <c r="A238" s="39">
        <v>24088970</v>
      </c>
      <c r="B238" s="39" t="s">
        <v>185</v>
      </c>
      <c r="C238" s="39" t="s">
        <v>13</v>
      </c>
      <c r="D238" s="39">
        <f t="shared" si="3"/>
        <v>1</v>
      </c>
      <c r="E238" s="39" t="s">
        <v>51</v>
      </c>
      <c r="F238" s="39" t="s">
        <v>15</v>
      </c>
      <c r="G238" s="39" t="s">
        <v>16</v>
      </c>
      <c r="H238" s="41">
        <v>45538</v>
      </c>
      <c r="I238" s="39" t="s">
        <v>357</v>
      </c>
      <c r="J238" s="39"/>
    </row>
    <row r="239" spans="1:10" ht="31.5" x14ac:dyDescent="0.25">
      <c r="A239" s="43">
        <v>24089015</v>
      </c>
      <c r="B239" s="39" t="s">
        <v>185</v>
      </c>
      <c r="C239" s="39" t="s">
        <v>13</v>
      </c>
      <c r="D239" s="39">
        <f t="shared" si="3"/>
        <v>1</v>
      </c>
      <c r="E239" s="39" t="s">
        <v>51</v>
      </c>
      <c r="F239" s="39" t="s">
        <v>15</v>
      </c>
      <c r="G239" s="39" t="s">
        <v>16</v>
      </c>
      <c r="H239" s="41">
        <v>45538</v>
      </c>
      <c r="I239" s="39" t="s">
        <v>358</v>
      </c>
      <c r="J239" s="39"/>
    </row>
    <row r="240" spans="1:10" ht="47.25" x14ac:dyDescent="0.25">
      <c r="A240" s="43">
        <v>24089078</v>
      </c>
      <c r="B240" s="39" t="s">
        <v>185</v>
      </c>
      <c r="C240" s="39" t="s">
        <v>13</v>
      </c>
      <c r="D240" s="39">
        <f t="shared" si="3"/>
        <v>1</v>
      </c>
      <c r="E240" s="39" t="s">
        <v>51</v>
      </c>
      <c r="F240" s="39" t="s">
        <v>359</v>
      </c>
      <c r="G240" s="39" t="s">
        <v>16</v>
      </c>
      <c r="H240" s="41">
        <v>45538</v>
      </c>
      <c r="I240" s="39" t="s">
        <v>360</v>
      </c>
      <c r="J240" s="39"/>
    </row>
    <row r="241" spans="1:10" ht="31.5" x14ac:dyDescent="0.25">
      <c r="A241" s="39">
        <v>24078136</v>
      </c>
      <c r="B241" s="39" t="s">
        <v>185</v>
      </c>
      <c r="C241" s="39" t="s">
        <v>13</v>
      </c>
      <c r="D241" s="39">
        <f t="shared" si="3"/>
        <v>1</v>
      </c>
      <c r="E241" s="39" t="s">
        <v>14</v>
      </c>
      <c r="F241" s="39" t="s">
        <v>15</v>
      </c>
      <c r="G241" s="39" t="s">
        <v>16</v>
      </c>
      <c r="H241" s="41">
        <v>45539</v>
      </c>
      <c r="I241" s="39" t="s">
        <v>361</v>
      </c>
      <c r="J241" s="39" t="s">
        <v>362</v>
      </c>
    </row>
    <row r="242" spans="1:10" ht="31.5" x14ac:dyDescent="0.25">
      <c r="A242" s="39">
        <v>24075836</v>
      </c>
      <c r="B242" s="39" t="s">
        <v>185</v>
      </c>
      <c r="C242" s="39" t="s">
        <v>13</v>
      </c>
      <c r="D242" s="39">
        <f t="shared" si="3"/>
        <v>1</v>
      </c>
      <c r="E242" s="39" t="s">
        <v>14</v>
      </c>
      <c r="F242" s="39" t="s">
        <v>29</v>
      </c>
      <c r="G242" s="39" t="s">
        <v>16</v>
      </c>
      <c r="H242" s="41">
        <v>45539</v>
      </c>
      <c r="I242" s="39" t="s">
        <v>363</v>
      </c>
      <c r="J242" s="39" t="s">
        <v>362</v>
      </c>
    </row>
    <row r="243" spans="1:10" ht="31.5" x14ac:dyDescent="0.25">
      <c r="A243" s="39">
        <v>24075131</v>
      </c>
      <c r="B243" s="39" t="s">
        <v>185</v>
      </c>
      <c r="C243" s="39" t="s">
        <v>13</v>
      </c>
      <c r="D243" s="39">
        <f t="shared" si="3"/>
        <v>1</v>
      </c>
      <c r="E243" s="39" t="s">
        <v>14</v>
      </c>
      <c r="F243" s="39" t="s">
        <v>21</v>
      </c>
      <c r="G243" s="39" t="s">
        <v>16</v>
      </c>
      <c r="H243" s="41">
        <v>45539</v>
      </c>
      <c r="I243" s="39" t="s">
        <v>364</v>
      </c>
      <c r="J243" s="39" t="s">
        <v>362</v>
      </c>
    </row>
    <row r="244" spans="1:10" ht="31.5" x14ac:dyDescent="0.25">
      <c r="A244" s="39">
        <v>24088510</v>
      </c>
      <c r="B244" s="39" t="s">
        <v>185</v>
      </c>
      <c r="C244" s="39" t="s">
        <v>13</v>
      </c>
      <c r="D244" s="39">
        <f t="shared" si="3"/>
        <v>1</v>
      </c>
      <c r="E244" s="39" t="s">
        <v>14</v>
      </c>
      <c r="F244" s="39" t="s">
        <v>181</v>
      </c>
      <c r="G244" s="39" t="s">
        <v>16</v>
      </c>
      <c r="H244" s="41">
        <v>45540</v>
      </c>
      <c r="I244" s="39" t="s">
        <v>365</v>
      </c>
      <c r="J244" s="39" t="s">
        <v>362</v>
      </c>
    </row>
    <row r="245" spans="1:10" ht="31.5" x14ac:dyDescent="0.25">
      <c r="A245" s="39">
        <v>24045839</v>
      </c>
      <c r="B245" s="39" t="s">
        <v>26</v>
      </c>
      <c r="C245" s="39" t="s">
        <v>13</v>
      </c>
      <c r="D245" s="39">
        <f t="shared" si="3"/>
        <v>2</v>
      </c>
      <c r="E245" s="39" t="s">
        <v>14</v>
      </c>
      <c r="F245" s="39" t="s">
        <v>366</v>
      </c>
      <c r="G245" s="39" t="s">
        <v>16</v>
      </c>
      <c r="H245" s="41">
        <v>45540</v>
      </c>
      <c r="I245" s="39" t="s">
        <v>367</v>
      </c>
      <c r="J245" s="39" t="s">
        <v>362</v>
      </c>
    </row>
    <row r="246" spans="1:10" ht="31.5" x14ac:dyDescent="0.25">
      <c r="A246" s="39">
        <v>24075240</v>
      </c>
      <c r="B246" s="39" t="s">
        <v>185</v>
      </c>
      <c r="C246" s="39" t="s">
        <v>13</v>
      </c>
      <c r="D246" s="39">
        <f t="shared" si="3"/>
        <v>1</v>
      </c>
      <c r="E246" s="39" t="s">
        <v>14</v>
      </c>
      <c r="F246" s="39" t="s">
        <v>181</v>
      </c>
      <c r="G246" s="39" t="s">
        <v>16</v>
      </c>
      <c r="H246" s="41">
        <v>45540</v>
      </c>
      <c r="I246" s="39" t="s">
        <v>365</v>
      </c>
      <c r="J246" s="39" t="s">
        <v>362</v>
      </c>
    </row>
    <row r="247" spans="1:10" ht="63" x14ac:dyDescent="0.25">
      <c r="A247" s="39">
        <v>24088543</v>
      </c>
      <c r="B247" s="39" t="s">
        <v>185</v>
      </c>
      <c r="C247" s="39" t="s">
        <v>13</v>
      </c>
      <c r="D247" s="39">
        <f t="shared" si="3"/>
        <v>1</v>
      </c>
      <c r="E247" s="39" t="s">
        <v>14</v>
      </c>
      <c r="F247" s="39" t="s">
        <v>368</v>
      </c>
      <c r="G247" s="39" t="s">
        <v>16</v>
      </c>
      <c r="H247" s="41">
        <v>45540</v>
      </c>
      <c r="I247" s="39" t="s">
        <v>369</v>
      </c>
      <c r="J247" s="39" t="s">
        <v>362</v>
      </c>
    </row>
    <row r="248" spans="1:10" ht="78.75" x14ac:dyDescent="0.25">
      <c r="A248" s="39">
        <v>24088578</v>
      </c>
      <c r="B248" s="39" t="s">
        <v>185</v>
      </c>
      <c r="C248" s="39" t="s">
        <v>13</v>
      </c>
      <c r="D248" s="39">
        <f t="shared" si="3"/>
        <v>1</v>
      </c>
      <c r="E248" s="39" t="s">
        <v>14</v>
      </c>
      <c r="F248" s="39" t="s">
        <v>370</v>
      </c>
      <c r="G248" s="39" t="s">
        <v>16</v>
      </c>
      <c r="H248" s="41">
        <v>45540</v>
      </c>
      <c r="I248" s="39" t="s">
        <v>371</v>
      </c>
      <c r="J248" s="39" t="s">
        <v>362</v>
      </c>
    </row>
    <row r="249" spans="1:10" ht="31.5" x14ac:dyDescent="0.25">
      <c r="A249" s="39">
        <v>24088534</v>
      </c>
      <c r="B249" s="39" t="s">
        <v>185</v>
      </c>
      <c r="C249" s="39" t="s">
        <v>13</v>
      </c>
      <c r="D249" s="39">
        <f t="shared" si="3"/>
        <v>1</v>
      </c>
      <c r="E249" s="39" t="s">
        <v>14</v>
      </c>
      <c r="F249" s="39" t="s">
        <v>181</v>
      </c>
      <c r="G249" s="39" t="s">
        <v>16</v>
      </c>
      <c r="H249" s="41">
        <v>45540</v>
      </c>
      <c r="I249" s="39" t="s">
        <v>365</v>
      </c>
      <c r="J249" s="39" t="s">
        <v>362</v>
      </c>
    </row>
    <row r="250" spans="1:10" ht="31.5" x14ac:dyDescent="0.25">
      <c r="A250" s="39">
        <v>21040075</v>
      </c>
      <c r="B250" s="39" t="s">
        <v>20</v>
      </c>
      <c r="C250" s="39" t="s">
        <v>13</v>
      </c>
      <c r="D250" s="39">
        <f t="shared" si="3"/>
        <v>1</v>
      </c>
      <c r="E250" s="39" t="s">
        <v>14</v>
      </c>
      <c r="F250" s="39" t="s">
        <v>372</v>
      </c>
      <c r="G250" s="39" t="s">
        <v>16</v>
      </c>
      <c r="H250" s="41">
        <v>45540</v>
      </c>
      <c r="I250" s="39" t="s">
        <v>373</v>
      </c>
      <c r="J250" s="39"/>
    </row>
    <row r="251" spans="1:10" ht="31.5" x14ac:dyDescent="0.25">
      <c r="A251" s="39">
        <v>24075883</v>
      </c>
      <c r="B251" s="39" t="s">
        <v>185</v>
      </c>
      <c r="C251" s="39" t="s">
        <v>13</v>
      </c>
      <c r="D251" s="39">
        <f t="shared" si="3"/>
        <v>1</v>
      </c>
      <c r="E251" s="39" t="s">
        <v>14</v>
      </c>
      <c r="F251" s="39" t="s">
        <v>374</v>
      </c>
      <c r="G251" s="39" t="s">
        <v>136</v>
      </c>
      <c r="H251" s="41">
        <v>45540</v>
      </c>
      <c r="I251" s="39" t="s">
        <v>375</v>
      </c>
      <c r="J251" s="39" t="s">
        <v>362</v>
      </c>
    </row>
    <row r="252" spans="1:10" ht="47.25" x14ac:dyDescent="0.25">
      <c r="A252" s="39">
        <v>24095098</v>
      </c>
      <c r="B252" s="39" t="s">
        <v>185</v>
      </c>
      <c r="C252" s="39" t="s">
        <v>13</v>
      </c>
      <c r="D252" s="39">
        <f t="shared" ref="D252:D256" si="4">COUNTIF(A:A,A252)</f>
        <v>1</v>
      </c>
      <c r="E252" s="39" t="s">
        <v>51</v>
      </c>
      <c r="F252" s="39" t="s">
        <v>15</v>
      </c>
      <c r="G252" s="39" t="s">
        <v>16</v>
      </c>
      <c r="H252" s="41">
        <v>45541</v>
      </c>
      <c r="I252" s="39" t="s">
        <v>376</v>
      </c>
      <c r="J252" s="39"/>
    </row>
    <row r="253" spans="1:10" ht="15.75" x14ac:dyDescent="0.25">
      <c r="A253" s="39">
        <v>24095100</v>
      </c>
      <c r="B253" s="39" t="s">
        <v>185</v>
      </c>
      <c r="C253" s="39" t="s">
        <v>13</v>
      </c>
      <c r="D253" s="39">
        <f t="shared" si="4"/>
        <v>1</v>
      </c>
      <c r="E253" s="39" t="s">
        <v>51</v>
      </c>
      <c r="F253" s="39" t="s">
        <v>15</v>
      </c>
      <c r="G253" s="39" t="s">
        <v>16</v>
      </c>
      <c r="H253" s="41">
        <v>45541</v>
      </c>
      <c r="I253" s="39" t="s">
        <v>28</v>
      </c>
      <c r="J253" s="39"/>
    </row>
    <row r="254" spans="1:10" ht="31.5" x14ac:dyDescent="0.25">
      <c r="A254" s="39">
        <v>24095209</v>
      </c>
      <c r="B254" s="39" t="s">
        <v>185</v>
      </c>
      <c r="C254" s="39" t="s">
        <v>13</v>
      </c>
      <c r="D254" s="39">
        <f t="shared" si="4"/>
        <v>1</v>
      </c>
      <c r="E254" s="39" t="s">
        <v>51</v>
      </c>
      <c r="F254" s="39" t="s">
        <v>15</v>
      </c>
      <c r="G254" s="39" t="s">
        <v>16</v>
      </c>
      <c r="H254" s="41">
        <v>45541</v>
      </c>
      <c r="I254" s="39" t="s">
        <v>377</v>
      </c>
      <c r="J254" s="39"/>
    </row>
    <row r="255" spans="1:10" ht="31.5" x14ac:dyDescent="0.25">
      <c r="A255" s="39">
        <v>24045968</v>
      </c>
      <c r="B255" s="39" t="s">
        <v>208</v>
      </c>
      <c r="C255" s="39" t="s">
        <v>112</v>
      </c>
      <c r="D255" s="39">
        <f t="shared" si="4"/>
        <v>1</v>
      </c>
      <c r="E255" s="39" t="s">
        <v>14</v>
      </c>
      <c r="F255" s="39" t="s">
        <v>378</v>
      </c>
      <c r="G255" s="39" t="s">
        <v>16</v>
      </c>
      <c r="H255" s="44">
        <v>45546</v>
      </c>
      <c r="I255" s="39" t="s">
        <v>379</v>
      </c>
      <c r="J255" s="39" t="s">
        <v>362</v>
      </c>
    </row>
    <row r="256" spans="1:10" ht="31.5" x14ac:dyDescent="0.25">
      <c r="A256" s="39">
        <v>24075643</v>
      </c>
      <c r="B256" s="39" t="s">
        <v>211</v>
      </c>
      <c r="C256" s="39" t="s">
        <v>112</v>
      </c>
      <c r="D256" s="39">
        <f t="shared" si="4"/>
        <v>1</v>
      </c>
      <c r="E256" s="39" t="s">
        <v>14</v>
      </c>
      <c r="F256" s="39" t="s">
        <v>288</v>
      </c>
      <c r="G256" s="39" t="s">
        <v>16</v>
      </c>
      <c r="H256" s="44">
        <v>45546</v>
      </c>
      <c r="I256" s="39" t="s">
        <v>127</v>
      </c>
      <c r="J256" s="39" t="s">
        <v>362</v>
      </c>
    </row>
    <row r="257" spans="1:10" ht="31.5" x14ac:dyDescent="0.25">
      <c r="A257" s="39">
        <v>24046257</v>
      </c>
      <c r="B257" s="39" t="s">
        <v>208</v>
      </c>
      <c r="C257" s="39" t="s">
        <v>112</v>
      </c>
      <c r="D257" s="39">
        <f t="shared" ref="D257:D259" si="5">COUNTIF(A:A,A257)</f>
        <v>1</v>
      </c>
      <c r="E257" s="39" t="s">
        <v>14</v>
      </c>
      <c r="F257" s="39" t="s">
        <v>288</v>
      </c>
      <c r="G257" s="39" t="s">
        <v>16</v>
      </c>
      <c r="H257" s="44">
        <v>45546</v>
      </c>
      <c r="I257" s="39" t="s">
        <v>127</v>
      </c>
      <c r="J257" s="39" t="s">
        <v>362</v>
      </c>
    </row>
    <row r="258" spans="1:10" ht="31.5" x14ac:dyDescent="0.25">
      <c r="A258" s="39">
        <v>24046275</v>
      </c>
      <c r="B258" s="39" t="s">
        <v>208</v>
      </c>
      <c r="C258" s="39" t="s">
        <v>112</v>
      </c>
      <c r="D258" s="39">
        <f t="shared" si="5"/>
        <v>1</v>
      </c>
      <c r="E258" s="39" t="s">
        <v>14</v>
      </c>
      <c r="F258" s="39" t="s">
        <v>288</v>
      </c>
      <c r="G258" s="39" t="s">
        <v>16</v>
      </c>
      <c r="H258" s="44">
        <v>45546</v>
      </c>
      <c r="I258" s="39" t="s">
        <v>127</v>
      </c>
      <c r="J258" s="39" t="s">
        <v>362</v>
      </c>
    </row>
    <row r="259" spans="1:10" ht="31.5" x14ac:dyDescent="0.25">
      <c r="A259" s="39">
        <v>24075333</v>
      </c>
      <c r="B259" s="39" t="s">
        <v>211</v>
      </c>
      <c r="C259" s="39" t="s">
        <v>112</v>
      </c>
      <c r="D259" s="39">
        <f t="shared" si="5"/>
        <v>1</v>
      </c>
      <c r="E259" s="39" t="s">
        <v>14</v>
      </c>
      <c r="F259" s="39" t="s">
        <v>288</v>
      </c>
      <c r="G259" s="39" t="s">
        <v>16</v>
      </c>
      <c r="H259" s="44">
        <v>45546</v>
      </c>
      <c r="I259" s="39" t="s">
        <v>380</v>
      </c>
      <c r="J259" s="39" t="s">
        <v>362</v>
      </c>
    </row>
    <row r="260" spans="1:10" ht="31.5" x14ac:dyDescent="0.25">
      <c r="A260" s="39">
        <v>24075309</v>
      </c>
      <c r="B260" s="39" t="s">
        <v>211</v>
      </c>
      <c r="C260" s="39" t="s">
        <v>112</v>
      </c>
      <c r="D260" s="39">
        <f t="shared" ref="D260:D262" si="6">COUNTIF(A:A,A260)</f>
        <v>1</v>
      </c>
      <c r="E260" s="39" t="s">
        <v>14</v>
      </c>
      <c r="F260" s="39" t="s">
        <v>288</v>
      </c>
      <c r="G260" s="39" t="s">
        <v>16</v>
      </c>
      <c r="H260" s="44">
        <v>45546</v>
      </c>
      <c r="I260" s="39" t="s">
        <v>127</v>
      </c>
      <c r="J260" s="39" t="s">
        <v>362</v>
      </c>
    </row>
    <row r="261" spans="1:10" ht="31.5" x14ac:dyDescent="0.25">
      <c r="A261" s="39">
        <v>23065439</v>
      </c>
      <c r="B261" s="39" t="s">
        <v>208</v>
      </c>
      <c r="C261" s="39" t="s">
        <v>112</v>
      </c>
      <c r="D261" s="39">
        <f t="shared" si="6"/>
        <v>1</v>
      </c>
      <c r="E261" s="39" t="s">
        <v>14</v>
      </c>
      <c r="F261" s="39" t="s">
        <v>288</v>
      </c>
      <c r="G261" s="39" t="s">
        <v>16</v>
      </c>
      <c r="H261" s="44">
        <v>45546</v>
      </c>
      <c r="I261" s="39" t="s">
        <v>127</v>
      </c>
      <c r="J261" s="39" t="s">
        <v>362</v>
      </c>
    </row>
    <row r="262" spans="1:10" ht="31.5" x14ac:dyDescent="0.25">
      <c r="A262" s="39">
        <v>24078211</v>
      </c>
      <c r="B262" s="39" t="s">
        <v>211</v>
      </c>
      <c r="C262" s="39" t="s">
        <v>112</v>
      </c>
      <c r="D262" s="39">
        <f t="shared" si="6"/>
        <v>1</v>
      </c>
      <c r="E262" s="39" t="s">
        <v>14</v>
      </c>
      <c r="F262" s="39" t="s">
        <v>288</v>
      </c>
      <c r="G262" s="39" t="s">
        <v>16</v>
      </c>
      <c r="H262" s="44">
        <v>45546</v>
      </c>
      <c r="I262" s="39" t="s">
        <v>127</v>
      </c>
      <c r="J262" s="39" t="s">
        <v>362</v>
      </c>
    </row>
    <row r="263" spans="1:10" ht="31.5" x14ac:dyDescent="0.25">
      <c r="A263" s="39">
        <v>24075619</v>
      </c>
      <c r="B263" s="39" t="s">
        <v>211</v>
      </c>
      <c r="C263" s="39" t="s">
        <v>112</v>
      </c>
      <c r="D263" s="39">
        <f t="shared" ref="D263:D307" si="7">COUNTIF(A:A,A263)</f>
        <v>1</v>
      </c>
      <c r="E263" s="39" t="s">
        <v>14</v>
      </c>
      <c r="F263" s="39" t="s">
        <v>288</v>
      </c>
      <c r="G263" s="39" t="s">
        <v>16</v>
      </c>
      <c r="H263" s="44">
        <v>45546</v>
      </c>
      <c r="I263" s="39" t="s">
        <v>127</v>
      </c>
      <c r="J263" s="39" t="s">
        <v>362</v>
      </c>
    </row>
    <row r="264" spans="1:10" ht="31.5" x14ac:dyDescent="0.25">
      <c r="A264" s="39">
        <v>24075330</v>
      </c>
      <c r="B264" s="39" t="s">
        <v>211</v>
      </c>
      <c r="C264" s="39" t="s">
        <v>112</v>
      </c>
      <c r="D264" s="39">
        <f t="shared" si="7"/>
        <v>1</v>
      </c>
      <c r="E264" s="39" t="s">
        <v>14</v>
      </c>
      <c r="F264" s="39" t="s">
        <v>288</v>
      </c>
      <c r="G264" s="39" t="s">
        <v>16</v>
      </c>
      <c r="H264" s="44">
        <v>45546</v>
      </c>
      <c r="I264" s="39" t="s">
        <v>381</v>
      </c>
      <c r="J264" s="39" t="s">
        <v>362</v>
      </c>
    </row>
    <row r="265" spans="1:10" ht="31.5" x14ac:dyDescent="0.25">
      <c r="A265" s="39">
        <v>24045971</v>
      </c>
      <c r="B265" s="39" t="s">
        <v>208</v>
      </c>
      <c r="C265" s="39" t="s">
        <v>112</v>
      </c>
      <c r="D265" s="39">
        <f t="shared" si="7"/>
        <v>1</v>
      </c>
      <c r="E265" s="39" t="s">
        <v>14</v>
      </c>
      <c r="F265" s="39" t="s">
        <v>288</v>
      </c>
      <c r="G265" s="39" t="s">
        <v>16</v>
      </c>
      <c r="H265" s="44">
        <v>45546</v>
      </c>
      <c r="I265" s="39" t="s">
        <v>127</v>
      </c>
      <c r="J265" s="39" t="s">
        <v>362</v>
      </c>
    </row>
    <row r="266" spans="1:10" ht="31.5" x14ac:dyDescent="0.25">
      <c r="A266" s="39">
        <v>24078291</v>
      </c>
      <c r="B266" s="39" t="s">
        <v>211</v>
      </c>
      <c r="C266" s="39" t="s">
        <v>112</v>
      </c>
      <c r="D266" s="39">
        <f t="shared" si="7"/>
        <v>1</v>
      </c>
      <c r="E266" s="39" t="s">
        <v>14</v>
      </c>
      <c r="F266" s="39" t="s">
        <v>288</v>
      </c>
      <c r="G266" s="39" t="s">
        <v>16</v>
      </c>
      <c r="H266" s="44">
        <v>45546</v>
      </c>
      <c r="I266" s="39" t="s">
        <v>127</v>
      </c>
      <c r="J266" s="39" t="s">
        <v>362</v>
      </c>
    </row>
    <row r="267" spans="1:10" ht="31.5" x14ac:dyDescent="0.25">
      <c r="A267" s="39">
        <v>24075533</v>
      </c>
      <c r="B267" s="39" t="s">
        <v>211</v>
      </c>
      <c r="C267" s="39" t="s">
        <v>112</v>
      </c>
      <c r="D267" s="39">
        <f t="shared" si="7"/>
        <v>1</v>
      </c>
      <c r="E267" s="39" t="s">
        <v>14</v>
      </c>
      <c r="F267" s="39" t="s">
        <v>288</v>
      </c>
      <c r="G267" s="39" t="s">
        <v>16</v>
      </c>
      <c r="H267" s="44">
        <v>45546</v>
      </c>
      <c r="I267" s="39" t="s">
        <v>127</v>
      </c>
      <c r="J267" s="39" t="s">
        <v>362</v>
      </c>
    </row>
    <row r="268" spans="1:10" ht="31.5" x14ac:dyDescent="0.25">
      <c r="A268" s="39">
        <v>24075359</v>
      </c>
      <c r="B268" s="39" t="s">
        <v>211</v>
      </c>
      <c r="C268" s="39" t="s">
        <v>112</v>
      </c>
      <c r="D268" s="39">
        <f t="shared" si="7"/>
        <v>1</v>
      </c>
      <c r="E268" s="39" t="s">
        <v>14</v>
      </c>
      <c r="F268" s="39" t="s">
        <v>288</v>
      </c>
      <c r="G268" s="39" t="s">
        <v>16</v>
      </c>
      <c r="H268" s="44">
        <v>45546</v>
      </c>
      <c r="I268" s="39" t="s">
        <v>382</v>
      </c>
      <c r="J268" s="39" t="s">
        <v>362</v>
      </c>
    </row>
    <row r="269" spans="1:10" ht="47.25" x14ac:dyDescent="0.25">
      <c r="A269" s="39">
        <v>24065268</v>
      </c>
      <c r="B269" s="39" t="s">
        <v>185</v>
      </c>
      <c r="C269" s="39" t="s">
        <v>13</v>
      </c>
      <c r="D269" s="39">
        <f t="shared" si="7"/>
        <v>2</v>
      </c>
      <c r="E269" s="39" t="s">
        <v>51</v>
      </c>
      <c r="F269" s="39" t="s">
        <v>29</v>
      </c>
      <c r="G269" s="39" t="s">
        <v>16</v>
      </c>
      <c r="H269" s="44">
        <v>45546</v>
      </c>
      <c r="I269" s="39" t="s">
        <v>383</v>
      </c>
      <c r="J269" s="39" t="s">
        <v>384</v>
      </c>
    </row>
    <row r="270" spans="1:10" ht="47.25" x14ac:dyDescent="0.25">
      <c r="A270" s="39">
        <v>24075781</v>
      </c>
      <c r="B270" s="39" t="s">
        <v>385</v>
      </c>
      <c r="C270" s="39" t="s">
        <v>386</v>
      </c>
      <c r="D270" s="39">
        <f t="shared" si="7"/>
        <v>1</v>
      </c>
      <c r="E270" s="39" t="s">
        <v>51</v>
      </c>
      <c r="F270" s="39" t="s">
        <v>334</v>
      </c>
      <c r="G270" s="39" t="s">
        <v>16</v>
      </c>
      <c r="H270" s="44">
        <v>45552</v>
      </c>
      <c r="I270" s="39" t="s">
        <v>387</v>
      </c>
      <c r="J270" s="39" t="s">
        <v>388</v>
      </c>
    </row>
    <row r="271" spans="1:10" ht="31.5" x14ac:dyDescent="0.25">
      <c r="A271" s="39">
        <v>19110596</v>
      </c>
      <c r="B271" s="39" t="s">
        <v>389</v>
      </c>
      <c r="C271" s="39" t="s">
        <v>386</v>
      </c>
      <c r="D271" s="39">
        <f t="shared" si="7"/>
        <v>1</v>
      </c>
      <c r="E271" s="39" t="s">
        <v>14</v>
      </c>
      <c r="F271" s="39" t="s">
        <v>390</v>
      </c>
      <c r="G271" s="39" t="s">
        <v>16</v>
      </c>
      <c r="H271" s="44">
        <v>45552</v>
      </c>
      <c r="I271" s="39" t="s">
        <v>391</v>
      </c>
      <c r="J271" s="39" t="s">
        <v>392</v>
      </c>
    </row>
    <row r="272" spans="1:10" ht="31.5" x14ac:dyDescent="0.25">
      <c r="A272" s="39">
        <v>19040191</v>
      </c>
      <c r="B272" s="39" t="s">
        <v>389</v>
      </c>
      <c r="C272" s="39" t="s">
        <v>386</v>
      </c>
      <c r="D272" s="39">
        <f t="shared" si="7"/>
        <v>1</v>
      </c>
      <c r="E272" s="39" t="s">
        <v>14</v>
      </c>
      <c r="F272" s="39" t="s">
        <v>393</v>
      </c>
      <c r="G272" s="39" t="s">
        <v>16</v>
      </c>
      <c r="H272" s="44">
        <v>45552</v>
      </c>
      <c r="I272" s="39" t="s">
        <v>394</v>
      </c>
      <c r="J272" s="39" t="s">
        <v>392</v>
      </c>
    </row>
    <row r="273" spans="1:10" ht="31.5" x14ac:dyDescent="0.25">
      <c r="A273" s="39">
        <v>22030179</v>
      </c>
      <c r="B273" s="39" t="s">
        <v>389</v>
      </c>
      <c r="C273" s="39" t="s">
        <v>386</v>
      </c>
      <c r="D273" s="39">
        <f t="shared" si="7"/>
        <v>1</v>
      </c>
      <c r="E273" s="39" t="s">
        <v>14</v>
      </c>
      <c r="F273" s="39" t="s">
        <v>395</v>
      </c>
      <c r="G273" s="39" t="s">
        <v>16</v>
      </c>
      <c r="H273" s="44">
        <v>45552</v>
      </c>
      <c r="I273" s="39" t="s">
        <v>396</v>
      </c>
      <c r="J273" s="39" t="s">
        <v>392</v>
      </c>
    </row>
    <row r="274" spans="1:10" ht="31.5" x14ac:dyDescent="0.25">
      <c r="A274" s="39">
        <v>22072067</v>
      </c>
      <c r="B274" s="39" t="s">
        <v>389</v>
      </c>
      <c r="C274" s="39" t="s">
        <v>386</v>
      </c>
      <c r="D274" s="39">
        <f t="shared" si="7"/>
        <v>1</v>
      </c>
      <c r="E274" s="39" t="s">
        <v>14</v>
      </c>
      <c r="F274" s="39" t="s">
        <v>397</v>
      </c>
      <c r="G274" s="39" t="s">
        <v>16</v>
      </c>
      <c r="H274" s="44">
        <v>45552</v>
      </c>
      <c r="I274" s="39" t="s">
        <v>398</v>
      </c>
      <c r="J274" s="39" t="s">
        <v>392</v>
      </c>
    </row>
    <row r="275" spans="1:10" ht="31.5" x14ac:dyDescent="0.25">
      <c r="A275" s="39">
        <v>23075015</v>
      </c>
      <c r="B275" s="39" t="s">
        <v>385</v>
      </c>
      <c r="C275" s="39" t="s">
        <v>386</v>
      </c>
      <c r="D275" s="39">
        <f t="shared" si="7"/>
        <v>1</v>
      </c>
      <c r="E275" s="39" t="s">
        <v>14</v>
      </c>
      <c r="F275" s="39" t="s">
        <v>399</v>
      </c>
      <c r="G275" s="39" t="s">
        <v>16</v>
      </c>
      <c r="H275" s="44">
        <v>45552</v>
      </c>
      <c r="I275" s="39" t="s">
        <v>400</v>
      </c>
      <c r="J275" s="39" t="s">
        <v>392</v>
      </c>
    </row>
    <row r="276" spans="1:10" ht="31.5" x14ac:dyDescent="0.25">
      <c r="A276" s="39">
        <v>24089174</v>
      </c>
      <c r="B276" s="39" t="s">
        <v>211</v>
      </c>
      <c r="C276" s="39" t="s">
        <v>112</v>
      </c>
      <c r="D276" s="39">
        <f t="shared" si="7"/>
        <v>1</v>
      </c>
      <c r="E276" s="39" t="s">
        <v>51</v>
      </c>
      <c r="F276" s="39" t="s">
        <v>401</v>
      </c>
      <c r="G276" s="39" t="s">
        <v>16</v>
      </c>
      <c r="H276" s="44">
        <v>45552</v>
      </c>
      <c r="I276" s="39" t="s">
        <v>402</v>
      </c>
      <c r="J276" s="39" t="s">
        <v>403</v>
      </c>
    </row>
    <row r="277" spans="1:10" ht="31.5" x14ac:dyDescent="0.25">
      <c r="A277" s="39">
        <v>24089179</v>
      </c>
      <c r="B277" s="39" t="s">
        <v>211</v>
      </c>
      <c r="C277" s="39" t="s">
        <v>112</v>
      </c>
      <c r="D277" s="39">
        <f t="shared" si="7"/>
        <v>1</v>
      </c>
      <c r="E277" s="39" t="s">
        <v>51</v>
      </c>
      <c r="F277" s="39" t="s">
        <v>401</v>
      </c>
      <c r="G277" s="39" t="s">
        <v>16</v>
      </c>
      <c r="H277" s="44">
        <v>45552</v>
      </c>
      <c r="I277" s="39" t="s">
        <v>402</v>
      </c>
      <c r="J277" s="39" t="s">
        <v>403</v>
      </c>
    </row>
    <row r="278" spans="1:10" ht="31.5" x14ac:dyDescent="0.25">
      <c r="A278" s="39">
        <v>24089177</v>
      </c>
      <c r="B278" s="39" t="s">
        <v>211</v>
      </c>
      <c r="C278" s="39" t="s">
        <v>112</v>
      </c>
      <c r="D278" s="39">
        <f t="shared" si="7"/>
        <v>1</v>
      </c>
      <c r="E278" s="39" t="s">
        <v>51</v>
      </c>
      <c r="F278" s="39" t="s">
        <v>401</v>
      </c>
      <c r="G278" s="39" t="s">
        <v>16</v>
      </c>
      <c r="H278" s="44">
        <v>45552</v>
      </c>
      <c r="I278" s="39" t="s">
        <v>402</v>
      </c>
      <c r="J278" s="39" t="s">
        <v>403</v>
      </c>
    </row>
    <row r="279" spans="1:10" ht="31.5" x14ac:dyDescent="0.25">
      <c r="A279" s="39">
        <v>24089171</v>
      </c>
      <c r="B279" s="39" t="s">
        <v>211</v>
      </c>
      <c r="C279" s="39" t="s">
        <v>112</v>
      </c>
      <c r="D279" s="39">
        <f t="shared" si="7"/>
        <v>1</v>
      </c>
      <c r="E279" s="39" t="s">
        <v>51</v>
      </c>
      <c r="F279" s="39" t="s">
        <v>401</v>
      </c>
      <c r="G279" s="39" t="s">
        <v>16</v>
      </c>
      <c r="H279" s="44">
        <v>45552</v>
      </c>
      <c r="I279" s="39" t="s">
        <v>402</v>
      </c>
      <c r="J279" s="39" t="s">
        <v>403</v>
      </c>
    </row>
    <row r="280" spans="1:10" ht="31.5" x14ac:dyDescent="0.25">
      <c r="A280" s="39">
        <v>24089176</v>
      </c>
      <c r="B280" s="39" t="s">
        <v>211</v>
      </c>
      <c r="C280" s="39" t="s">
        <v>112</v>
      </c>
      <c r="D280" s="39">
        <f t="shared" si="7"/>
        <v>1</v>
      </c>
      <c r="E280" s="39" t="s">
        <v>51</v>
      </c>
      <c r="F280" s="39" t="s">
        <v>401</v>
      </c>
      <c r="G280" s="39" t="s">
        <v>16</v>
      </c>
      <c r="H280" s="44">
        <v>45552</v>
      </c>
      <c r="I280" s="39" t="s">
        <v>402</v>
      </c>
      <c r="J280" s="39" t="s">
        <v>403</v>
      </c>
    </row>
    <row r="281" spans="1:10" ht="31.5" x14ac:dyDescent="0.25">
      <c r="A281" s="39">
        <v>24089173</v>
      </c>
      <c r="B281" s="39" t="s">
        <v>211</v>
      </c>
      <c r="C281" s="39" t="s">
        <v>112</v>
      </c>
      <c r="D281" s="39">
        <f t="shared" si="7"/>
        <v>1</v>
      </c>
      <c r="E281" s="39" t="s">
        <v>51</v>
      </c>
      <c r="F281" s="39" t="s">
        <v>401</v>
      </c>
      <c r="G281" s="39" t="s">
        <v>16</v>
      </c>
      <c r="H281" s="44">
        <v>45552</v>
      </c>
      <c r="I281" s="39" t="s">
        <v>402</v>
      </c>
      <c r="J281" s="39" t="s">
        <v>403</v>
      </c>
    </row>
    <row r="282" spans="1:10" ht="31.5" x14ac:dyDescent="0.25">
      <c r="A282" s="39">
        <v>24088839</v>
      </c>
      <c r="B282" s="39" t="s">
        <v>211</v>
      </c>
      <c r="C282" s="39" t="s">
        <v>112</v>
      </c>
      <c r="D282" s="39">
        <f t="shared" si="7"/>
        <v>1</v>
      </c>
      <c r="E282" s="39" t="s">
        <v>51</v>
      </c>
      <c r="F282" s="39" t="s">
        <v>404</v>
      </c>
      <c r="G282" s="39" t="s">
        <v>16</v>
      </c>
      <c r="H282" s="44">
        <v>45552</v>
      </c>
      <c r="I282" s="39" t="s">
        <v>405</v>
      </c>
      <c r="J282" s="39" t="s">
        <v>403</v>
      </c>
    </row>
    <row r="283" spans="1:10" ht="31.5" x14ac:dyDescent="0.25">
      <c r="A283" s="39">
        <v>24088665</v>
      </c>
      <c r="B283" s="39" t="s">
        <v>236</v>
      </c>
      <c r="C283" s="39" t="s">
        <v>237</v>
      </c>
      <c r="D283" s="39">
        <f t="shared" si="7"/>
        <v>1</v>
      </c>
      <c r="E283" s="39" t="s">
        <v>51</v>
      </c>
      <c r="F283" s="39" t="s">
        <v>406</v>
      </c>
      <c r="G283" s="39" t="s">
        <v>16</v>
      </c>
      <c r="H283" s="44">
        <v>45552</v>
      </c>
      <c r="I283" s="39" t="s">
        <v>407</v>
      </c>
      <c r="J283" s="39" t="s">
        <v>403</v>
      </c>
    </row>
    <row r="284" spans="1:10" ht="30" x14ac:dyDescent="0.25">
      <c r="A284" s="39">
        <v>23075235</v>
      </c>
      <c r="B284" s="39" t="s">
        <v>79</v>
      </c>
      <c r="C284" s="45" t="s">
        <v>80</v>
      </c>
      <c r="D284" s="39">
        <f t="shared" si="7"/>
        <v>1</v>
      </c>
      <c r="E284" s="39" t="s">
        <v>51</v>
      </c>
      <c r="F284" s="39" t="s">
        <v>408</v>
      </c>
      <c r="G284" s="39" t="s">
        <v>16</v>
      </c>
      <c r="H284" s="44">
        <v>45552</v>
      </c>
      <c r="I284" s="39" t="s">
        <v>409</v>
      </c>
      <c r="J284" s="39" t="s">
        <v>403</v>
      </c>
    </row>
    <row r="285" spans="1:10" ht="31.5" x14ac:dyDescent="0.25">
      <c r="A285" s="39">
        <v>24065348</v>
      </c>
      <c r="B285" s="39" t="s">
        <v>79</v>
      </c>
      <c r="C285" s="45" t="s">
        <v>80</v>
      </c>
      <c r="D285" s="39">
        <f t="shared" si="7"/>
        <v>1</v>
      </c>
      <c r="E285" s="39" t="s">
        <v>51</v>
      </c>
      <c r="F285" s="39" t="s">
        <v>410</v>
      </c>
      <c r="G285" s="39" t="s">
        <v>16</v>
      </c>
      <c r="H285" s="44">
        <v>45552</v>
      </c>
      <c r="I285" s="39" t="s">
        <v>411</v>
      </c>
      <c r="J285" s="39" t="s">
        <v>403</v>
      </c>
    </row>
    <row r="286" spans="1:10" ht="15.75" x14ac:dyDescent="0.25">
      <c r="A286" s="39">
        <v>24065022</v>
      </c>
      <c r="B286" s="39" t="s">
        <v>385</v>
      </c>
      <c r="C286" s="39" t="s">
        <v>386</v>
      </c>
      <c r="D286" s="39">
        <f t="shared" si="7"/>
        <v>1</v>
      </c>
      <c r="E286" s="39" t="s">
        <v>51</v>
      </c>
      <c r="F286" s="39" t="s">
        <v>412</v>
      </c>
      <c r="G286" s="39" t="s">
        <v>16</v>
      </c>
      <c r="H286" s="44">
        <v>45553</v>
      </c>
      <c r="I286" s="39" t="s">
        <v>413</v>
      </c>
      <c r="J286" s="45"/>
    </row>
    <row r="287" spans="1:10" ht="15.75" x14ac:dyDescent="0.25">
      <c r="A287" s="39">
        <v>23065259</v>
      </c>
      <c r="B287" s="39" t="s">
        <v>389</v>
      </c>
      <c r="C287" s="45" t="s">
        <v>386</v>
      </c>
      <c r="D287" s="39">
        <f t="shared" si="7"/>
        <v>1</v>
      </c>
      <c r="E287" s="39" t="s">
        <v>51</v>
      </c>
      <c r="F287" s="39" t="s">
        <v>412</v>
      </c>
      <c r="G287" s="39" t="s">
        <v>16</v>
      </c>
      <c r="H287" s="44">
        <v>45553</v>
      </c>
      <c r="I287" s="39" t="s">
        <v>414</v>
      </c>
      <c r="J287" s="45"/>
    </row>
    <row r="288" spans="1:10" ht="31.5" x14ac:dyDescent="0.25">
      <c r="A288" s="39">
        <v>23065262</v>
      </c>
      <c r="B288" s="39" t="s">
        <v>389</v>
      </c>
      <c r="C288" s="45" t="s">
        <v>386</v>
      </c>
      <c r="D288" s="39">
        <f t="shared" si="7"/>
        <v>1</v>
      </c>
      <c r="E288" s="39" t="s">
        <v>51</v>
      </c>
      <c r="F288" s="39" t="s">
        <v>415</v>
      </c>
      <c r="G288" s="39" t="s">
        <v>16</v>
      </c>
      <c r="H288" s="44">
        <v>45553</v>
      </c>
      <c r="I288" s="39" t="s">
        <v>416</v>
      </c>
      <c r="J288" s="39" t="s">
        <v>417</v>
      </c>
    </row>
    <row r="289" spans="1:10" ht="30" x14ac:dyDescent="0.25">
      <c r="A289" s="46">
        <v>24035147</v>
      </c>
      <c r="B289" s="46" t="s">
        <v>26</v>
      </c>
      <c r="C289" s="46" t="s">
        <v>13</v>
      </c>
      <c r="D289" s="46">
        <f t="shared" si="7"/>
        <v>1</v>
      </c>
      <c r="E289" s="39" t="s">
        <v>51</v>
      </c>
      <c r="F289" s="46" t="s">
        <v>189</v>
      </c>
      <c r="G289" s="46" t="s">
        <v>16</v>
      </c>
      <c r="H289" s="47">
        <v>45566</v>
      </c>
      <c r="I289" s="46" t="s">
        <v>418</v>
      </c>
      <c r="J289" s="45"/>
    </row>
    <row r="290" spans="1:10" ht="30" x14ac:dyDescent="0.25">
      <c r="A290" s="45">
        <v>24075076</v>
      </c>
      <c r="B290" s="45" t="s">
        <v>185</v>
      </c>
      <c r="C290" s="46" t="s">
        <v>13</v>
      </c>
      <c r="D290" s="45">
        <f t="shared" si="7"/>
        <v>1</v>
      </c>
      <c r="E290" s="45" t="s">
        <v>14</v>
      </c>
      <c r="F290" s="45" t="s">
        <v>419</v>
      </c>
      <c r="G290" s="45" t="s">
        <v>16</v>
      </c>
      <c r="H290" s="44">
        <v>45567</v>
      </c>
      <c r="I290" s="45" t="s">
        <v>420</v>
      </c>
      <c r="J290" s="45" t="s">
        <v>362</v>
      </c>
    </row>
    <row r="291" spans="1:10" ht="45" x14ac:dyDescent="0.25">
      <c r="A291" s="45">
        <v>24089009</v>
      </c>
      <c r="B291" s="45" t="s">
        <v>185</v>
      </c>
      <c r="C291" s="46" t="s">
        <v>13</v>
      </c>
      <c r="D291" s="45">
        <f t="shared" si="7"/>
        <v>1</v>
      </c>
      <c r="E291" s="45" t="s">
        <v>14</v>
      </c>
      <c r="F291" s="45" t="s">
        <v>15</v>
      </c>
      <c r="G291" s="45" t="s">
        <v>16</v>
      </c>
      <c r="H291" s="44">
        <v>45567</v>
      </c>
      <c r="I291" s="45" t="s">
        <v>421</v>
      </c>
      <c r="J291" s="45" t="s">
        <v>362</v>
      </c>
    </row>
    <row r="292" spans="1:10" x14ac:dyDescent="0.25">
      <c r="A292" s="45">
        <v>24088991</v>
      </c>
      <c r="B292" s="45" t="s">
        <v>185</v>
      </c>
      <c r="C292" s="46" t="s">
        <v>13</v>
      </c>
      <c r="D292" s="45">
        <f t="shared" si="7"/>
        <v>1</v>
      </c>
      <c r="E292" s="45" t="s">
        <v>14</v>
      </c>
      <c r="F292" s="45" t="s">
        <v>15</v>
      </c>
      <c r="G292" s="45" t="s">
        <v>16</v>
      </c>
      <c r="H292" s="44">
        <v>45567</v>
      </c>
      <c r="I292" s="45" t="s">
        <v>422</v>
      </c>
      <c r="J292" s="45" t="s">
        <v>362</v>
      </c>
    </row>
    <row r="293" spans="1:10" x14ac:dyDescent="0.25">
      <c r="A293" s="45">
        <v>24095145</v>
      </c>
      <c r="B293" s="45" t="s">
        <v>185</v>
      </c>
      <c r="C293" s="46" t="s">
        <v>13</v>
      </c>
      <c r="D293" s="45">
        <f t="shared" si="7"/>
        <v>1</v>
      </c>
      <c r="E293" s="45" t="s">
        <v>14</v>
      </c>
      <c r="F293" s="45" t="s">
        <v>423</v>
      </c>
      <c r="G293" s="45" t="s">
        <v>16</v>
      </c>
      <c r="H293" s="44">
        <v>45567</v>
      </c>
      <c r="I293" s="45" t="s">
        <v>424</v>
      </c>
      <c r="J293" s="45" t="s">
        <v>362</v>
      </c>
    </row>
    <row r="294" spans="1:10" ht="30" x14ac:dyDescent="0.25">
      <c r="A294" s="48">
        <v>19040329</v>
      </c>
      <c r="B294" s="48" t="s">
        <v>425</v>
      </c>
      <c r="C294" s="49" t="s">
        <v>112</v>
      </c>
      <c r="D294" s="48">
        <f t="shared" si="7"/>
        <v>1</v>
      </c>
      <c r="E294" s="48" t="s">
        <v>14</v>
      </c>
      <c r="F294" s="48" t="s">
        <v>29</v>
      </c>
      <c r="G294" s="48" t="s">
        <v>16</v>
      </c>
      <c r="H294" s="50">
        <v>45569</v>
      </c>
      <c r="I294" s="48" t="s">
        <v>426</v>
      </c>
      <c r="J294" s="48" t="s">
        <v>427</v>
      </c>
    </row>
    <row r="295" spans="1:10" ht="30" x14ac:dyDescent="0.25">
      <c r="A295" s="48">
        <v>17021065</v>
      </c>
      <c r="B295" s="48" t="s">
        <v>425</v>
      </c>
      <c r="C295" s="49" t="s">
        <v>112</v>
      </c>
      <c r="D295" s="48">
        <f t="shared" si="7"/>
        <v>1</v>
      </c>
      <c r="E295" s="48" t="s">
        <v>14</v>
      </c>
      <c r="F295" s="48" t="s">
        <v>29</v>
      </c>
      <c r="G295" s="48" t="s">
        <v>16</v>
      </c>
      <c r="H295" s="50">
        <v>45569</v>
      </c>
      <c r="I295" s="48" t="s">
        <v>428</v>
      </c>
      <c r="J295" s="48" t="s">
        <v>427</v>
      </c>
    </row>
    <row r="296" spans="1:10" ht="30" x14ac:dyDescent="0.25">
      <c r="A296" s="48">
        <v>19070687</v>
      </c>
      <c r="B296" s="48" t="s">
        <v>425</v>
      </c>
      <c r="C296" s="49" t="s">
        <v>112</v>
      </c>
      <c r="D296" s="48">
        <f t="shared" si="7"/>
        <v>1</v>
      </c>
      <c r="E296" s="48" t="s">
        <v>14</v>
      </c>
      <c r="F296" s="48" t="s">
        <v>29</v>
      </c>
      <c r="G296" s="48" t="s">
        <v>16</v>
      </c>
      <c r="H296" s="50">
        <v>45569</v>
      </c>
      <c r="I296" s="48" t="s">
        <v>429</v>
      </c>
      <c r="J296" s="48" t="s">
        <v>427</v>
      </c>
    </row>
    <row r="297" spans="1:10" ht="30" x14ac:dyDescent="0.25">
      <c r="A297" s="48">
        <v>17051255</v>
      </c>
      <c r="B297" s="48" t="s">
        <v>425</v>
      </c>
      <c r="C297" s="49" t="s">
        <v>112</v>
      </c>
      <c r="D297" s="48">
        <f t="shared" si="7"/>
        <v>1</v>
      </c>
      <c r="E297" s="48" t="s">
        <v>14</v>
      </c>
      <c r="F297" s="48" t="s">
        <v>29</v>
      </c>
      <c r="G297" s="48" t="s">
        <v>16</v>
      </c>
      <c r="H297" s="50">
        <v>45569</v>
      </c>
      <c r="I297" s="48" t="s">
        <v>429</v>
      </c>
      <c r="J297" s="48" t="s">
        <v>427</v>
      </c>
    </row>
    <row r="298" spans="1:10" ht="30" x14ac:dyDescent="0.25">
      <c r="A298" s="48">
        <v>19040491</v>
      </c>
      <c r="B298" s="48" t="s">
        <v>425</v>
      </c>
      <c r="C298" s="49" t="s">
        <v>112</v>
      </c>
      <c r="D298" s="48">
        <f t="shared" si="7"/>
        <v>1</v>
      </c>
      <c r="E298" s="48" t="s">
        <v>14</v>
      </c>
      <c r="F298" s="48" t="s">
        <v>29</v>
      </c>
      <c r="G298" s="48" t="s">
        <v>16</v>
      </c>
      <c r="H298" s="50">
        <v>45569</v>
      </c>
      <c r="I298" s="48" t="s">
        <v>429</v>
      </c>
      <c r="J298" s="48" t="s">
        <v>427</v>
      </c>
    </row>
    <row r="299" spans="1:10" ht="30" x14ac:dyDescent="0.25">
      <c r="A299" s="51">
        <v>19070122</v>
      </c>
      <c r="B299" s="51" t="s">
        <v>425</v>
      </c>
      <c r="C299" s="52" t="s">
        <v>112</v>
      </c>
      <c r="D299" s="51">
        <f t="shared" si="7"/>
        <v>1</v>
      </c>
      <c r="E299" s="51" t="s">
        <v>14</v>
      </c>
      <c r="F299" s="51" t="s">
        <v>29</v>
      </c>
      <c r="G299" s="51" t="s">
        <v>16</v>
      </c>
      <c r="H299" s="53">
        <v>45569</v>
      </c>
      <c r="I299" s="51" t="s">
        <v>429</v>
      </c>
      <c r="J299" s="48" t="s">
        <v>427</v>
      </c>
    </row>
    <row r="300" spans="1:10" ht="30" x14ac:dyDescent="0.25">
      <c r="A300" s="45">
        <v>16020254</v>
      </c>
      <c r="B300" s="45" t="s">
        <v>430</v>
      </c>
      <c r="C300" s="46" t="s">
        <v>13</v>
      </c>
      <c r="D300" s="45">
        <f t="shared" si="7"/>
        <v>1</v>
      </c>
      <c r="E300" s="45" t="s">
        <v>14</v>
      </c>
      <c r="F300" s="45" t="s">
        <v>21</v>
      </c>
      <c r="G300" s="45" t="s">
        <v>16</v>
      </c>
      <c r="H300" s="44">
        <v>45628</v>
      </c>
      <c r="I300" s="45" t="s">
        <v>431</v>
      </c>
      <c r="J300" s="54" t="s">
        <v>432</v>
      </c>
    </row>
    <row r="301" spans="1:10" ht="30" x14ac:dyDescent="0.25">
      <c r="A301" s="45">
        <v>16020287</v>
      </c>
      <c r="B301" s="45" t="s">
        <v>430</v>
      </c>
      <c r="C301" s="46" t="s">
        <v>13</v>
      </c>
      <c r="D301" s="45">
        <f t="shared" si="7"/>
        <v>1</v>
      </c>
      <c r="E301" s="45" t="s">
        <v>14</v>
      </c>
      <c r="F301" s="45" t="s">
        <v>181</v>
      </c>
      <c r="G301" s="45" t="s">
        <v>16</v>
      </c>
      <c r="H301" s="44">
        <v>45628</v>
      </c>
      <c r="I301" s="45" t="s">
        <v>433</v>
      </c>
      <c r="J301" s="54" t="s">
        <v>432</v>
      </c>
    </row>
    <row r="302" spans="1:10" ht="30" x14ac:dyDescent="0.25">
      <c r="A302" s="45">
        <v>16020268</v>
      </c>
      <c r="B302" s="45" t="s">
        <v>430</v>
      </c>
      <c r="C302" s="46" t="s">
        <v>13</v>
      </c>
      <c r="D302" s="45">
        <f t="shared" si="7"/>
        <v>1</v>
      </c>
      <c r="E302" s="45" t="s">
        <v>14</v>
      </c>
      <c r="F302" s="45" t="s">
        <v>181</v>
      </c>
      <c r="G302" s="45" t="s">
        <v>16</v>
      </c>
      <c r="H302" s="44">
        <v>45628</v>
      </c>
      <c r="I302" s="45" t="s">
        <v>433</v>
      </c>
      <c r="J302" s="54" t="s">
        <v>432</v>
      </c>
    </row>
    <row r="303" spans="1:10" ht="30" x14ac:dyDescent="0.25">
      <c r="A303" s="45">
        <v>16020126</v>
      </c>
      <c r="B303" s="45" t="s">
        <v>430</v>
      </c>
      <c r="C303" s="46" t="s">
        <v>13</v>
      </c>
      <c r="D303" s="45">
        <f t="shared" si="7"/>
        <v>1</v>
      </c>
      <c r="E303" s="45" t="s">
        <v>14</v>
      </c>
      <c r="F303" s="45" t="s">
        <v>181</v>
      </c>
      <c r="G303" s="45" t="s">
        <v>16</v>
      </c>
      <c r="H303" s="44">
        <v>45628</v>
      </c>
      <c r="I303" s="45" t="s">
        <v>433</v>
      </c>
      <c r="J303" s="54" t="s">
        <v>432</v>
      </c>
    </row>
    <row r="304" spans="1:10" ht="30" x14ac:dyDescent="0.25">
      <c r="A304" s="45">
        <v>16020283</v>
      </c>
      <c r="B304" s="45" t="s">
        <v>430</v>
      </c>
      <c r="C304" s="46" t="s">
        <v>13</v>
      </c>
      <c r="D304" s="45">
        <f t="shared" si="7"/>
        <v>1</v>
      </c>
      <c r="E304" s="45" t="s">
        <v>14</v>
      </c>
      <c r="F304" s="45" t="s">
        <v>181</v>
      </c>
      <c r="G304" s="45" t="s">
        <v>16</v>
      </c>
      <c r="H304" s="44">
        <v>45628</v>
      </c>
      <c r="I304" s="45" t="s">
        <v>433</v>
      </c>
      <c r="J304" s="54" t="s">
        <v>432</v>
      </c>
    </row>
    <row r="305" spans="1:10" ht="30" x14ac:dyDescent="0.25">
      <c r="A305" s="45">
        <v>16020018</v>
      </c>
      <c r="B305" s="45" t="s">
        <v>434</v>
      </c>
      <c r="C305" s="46" t="s">
        <v>13</v>
      </c>
      <c r="D305" s="45">
        <f t="shared" si="7"/>
        <v>1</v>
      </c>
      <c r="E305" s="45" t="s">
        <v>435</v>
      </c>
      <c r="F305" s="45" t="s">
        <v>181</v>
      </c>
      <c r="G305" s="45" t="s">
        <v>16</v>
      </c>
      <c r="H305" s="44">
        <v>45628</v>
      </c>
      <c r="I305" s="45" t="s">
        <v>436</v>
      </c>
      <c r="J305" s="54" t="s">
        <v>432</v>
      </c>
    </row>
    <row r="306" spans="1:10" ht="30" x14ac:dyDescent="0.25">
      <c r="A306" s="45">
        <v>21094021</v>
      </c>
      <c r="B306" s="45" t="s">
        <v>434</v>
      </c>
      <c r="C306" s="46" t="s">
        <v>13</v>
      </c>
      <c r="D306" s="45">
        <f t="shared" si="7"/>
        <v>1</v>
      </c>
      <c r="E306" s="45" t="s">
        <v>435</v>
      </c>
      <c r="F306" s="45" t="s">
        <v>181</v>
      </c>
      <c r="G306" s="45" t="s">
        <v>16</v>
      </c>
      <c r="H306" s="44">
        <v>45628</v>
      </c>
      <c r="I306" s="45" t="s">
        <v>433</v>
      </c>
      <c r="J306" s="54" t="s">
        <v>432</v>
      </c>
    </row>
    <row r="307" spans="1:10" ht="45" x14ac:dyDescent="0.25">
      <c r="A307" s="45">
        <v>19071020</v>
      </c>
      <c r="B307" s="45" t="s">
        <v>434</v>
      </c>
      <c r="C307" s="45" t="s">
        <v>13</v>
      </c>
      <c r="D307" s="45">
        <f t="shared" si="7"/>
        <v>1</v>
      </c>
      <c r="E307" s="45" t="s">
        <v>14</v>
      </c>
      <c r="F307" s="45" t="s">
        <v>437</v>
      </c>
      <c r="G307" s="45" t="s">
        <v>16</v>
      </c>
      <c r="H307" s="44">
        <v>45628</v>
      </c>
      <c r="I307" s="45" t="s">
        <v>438</v>
      </c>
      <c r="J307" s="54" t="s">
        <v>432</v>
      </c>
    </row>
    <row r="308" spans="1:10" x14ac:dyDescent="0.25">
      <c r="H308" s="25"/>
    </row>
    <row r="309" spans="1:10" x14ac:dyDescent="0.25">
      <c r="H309" s="25"/>
    </row>
    <row r="310" spans="1:10" x14ac:dyDescent="0.25">
      <c r="H310" s="25"/>
    </row>
    <row r="311" spans="1:10" x14ac:dyDescent="0.25">
      <c r="H311" s="25"/>
    </row>
    <row r="312" spans="1:10" x14ac:dyDescent="0.25">
      <c r="H312" s="25"/>
    </row>
    <row r="313" spans="1:10" x14ac:dyDescent="0.25">
      <c r="H313" s="25"/>
    </row>
    <row r="314" spans="1:10" x14ac:dyDescent="0.25">
      <c r="H314" s="25"/>
    </row>
    <row r="315" spans="1:10" x14ac:dyDescent="0.25">
      <c r="H315" s="25"/>
    </row>
  </sheetData>
  <phoneticPr fontId="4"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99900-C041-40A7-82E3-4EEB66776E01}">
  <dimension ref="A1:N28"/>
  <sheetViews>
    <sheetView topLeftCell="A19" workbookViewId="0">
      <selection activeCell="N6" sqref="N6"/>
    </sheetView>
  </sheetViews>
  <sheetFormatPr defaultRowHeight="15" x14ac:dyDescent="0.25"/>
  <cols>
    <col min="1" max="1" width="17.42578125" customWidth="1"/>
    <col min="2" max="3" width="16.140625" customWidth="1"/>
    <col min="4" max="4" width="9.28515625" bestFit="1" customWidth="1"/>
    <col min="5" max="5" width="13" customWidth="1"/>
    <col min="6" max="6" width="21.5703125" customWidth="1"/>
    <col min="8" max="8" width="10.42578125" bestFit="1" customWidth="1"/>
    <col min="9" max="9" width="71.7109375" customWidth="1"/>
    <col min="10" max="10" width="53" customWidth="1"/>
    <col min="13" max="13" width="12.28515625" customWidth="1"/>
    <col min="14" max="14" width="15.5703125" customWidth="1"/>
  </cols>
  <sheetData>
    <row r="1" spans="1:14" ht="34.5" customHeight="1" x14ac:dyDescent="0.25">
      <c r="A1" s="8" t="s">
        <v>0</v>
      </c>
      <c r="B1" s="8" t="s">
        <v>1</v>
      </c>
      <c r="C1" s="8" t="s">
        <v>2</v>
      </c>
      <c r="D1" s="8" t="s">
        <v>3</v>
      </c>
      <c r="E1" s="8" t="s">
        <v>4</v>
      </c>
      <c r="F1" s="8" t="s">
        <v>5</v>
      </c>
      <c r="G1" s="8" t="s">
        <v>6</v>
      </c>
      <c r="H1" s="8" t="s">
        <v>7</v>
      </c>
      <c r="I1" s="8" t="s">
        <v>8</v>
      </c>
      <c r="J1" s="7" t="s">
        <v>9</v>
      </c>
      <c r="M1" s="31" t="s">
        <v>10</v>
      </c>
      <c r="N1" s="32" t="s">
        <v>11</v>
      </c>
    </row>
    <row r="2" spans="1:14" ht="34.5" customHeight="1" x14ac:dyDescent="0.25">
      <c r="A2" s="8"/>
      <c r="B2" s="8"/>
      <c r="C2" s="8"/>
      <c r="D2" s="8"/>
      <c r="E2" s="8"/>
      <c r="F2" s="8"/>
      <c r="G2" s="8"/>
      <c r="H2" s="8"/>
      <c r="I2" s="8"/>
      <c r="J2" s="7"/>
      <c r="M2" s="33" t="s">
        <v>18</v>
      </c>
      <c r="N2" s="34" t="s">
        <v>19</v>
      </c>
    </row>
    <row r="3" spans="1:14" ht="34.5" customHeight="1" x14ac:dyDescent="0.25">
      <c r="A3" s="9">
        <v>23095068</v>
      </c>
      <c r="B3" s="9" t="s">
        <v>26</v>
      </c>
      <c r="C3" s="9" t="s">
        <v>13</v>
      </c>
      <c r="D3" s="10">
        <f t="shared" ref="D3:D25" si="0">COUNTIF(A:A,A3)</f>
        <v>1</v>
      </c>
      <c r="E3" s="9" t="s">
        <v>51</v>
      </c>
      <c r="F3" s="9" t="s">
        <v>439</v>
      </c>
      <c r="G3" s="9" t="s">
        <v>16</v>
      </c>
      <c r="H3" s="9" t="s">
        <v>288</v>
      </c>
      <c r="I3" s="9" t="s">
        <v>440</v>
      </c>
      <c r="J3" s="17"/>
      <c r="M3" s="35" t="s">
        <v>23</v>
      </c>
      <c r="N3" s="36" t="s">
        <v>24</v>
      </c>
    </row>
    <row r="4" spans="1:14" ht="15.75" x14ac:dyDescent="0.25">
      <c r="A4" s="9">
        <v>23095122</v>
      </c>
      <c r="B4" s="9" t="s">
        <v>26</v>
      </c>
      <c r="C4" s="9" t="s">
        <v>13</v>
      </c>
      <c r="D4" s="10">
        <f t="shared" si="0"/>
        <v>1</v>
      </c>
      <c r="E4" s="9" t="s">
        <v>51</v>
      </c>
      <c r="F4" s="9" t="s">
        <v>439</v>
      </c>
      <c r="G4" s="9" t="s">
        <v>16</v>
      </c>
      <c r="H4" s="9" t="s">
        <v>288</v>
      </c>
      <c r="I4" s="9" t="s">
        <v>441</v>
      </c>
      <c r="J4" s="10"/>
      <c r="M4" s="29"/>
      <c r="N4" s="30"/>
    </row>
    <row r="5" spans="1:14" ht="15.75" x14ac:dyDescent="0.25">
      <c r="A5" s="9">
        <v>23095107</v>
      </c>
      <c r="B5" s="9" t="s">
        <v>26</v>
      </c>
      <c r="C5" s="9" t="s">
        <v>13</v>
      </c>
      <c r="D5" s="10">
        <f t="shared" si="0"/>
        <v>1</v>
      </c>
      <c r="E5" s="9" t="s">
        <v>51</v>
      </c>
      <c r="F5" s="9" t="s">
        <v>439</v>
      </c>
      <c r="G5" s="9" t="s">
        <v>16</v>
      </c>
      <c r="H5" s="9" t="s">
        <v>288</v>
      </c>
      <c r="I5" s="9" t="s">
        <v>442</v>
      </c>
      <c r="J5" s="10"/>
      <c r="M5" s="29"/>
      <c r="N5" s="30"/>
    </row>
    <row r="6" spans="1:14" ht="63" x14ac:dyDescent="0.25">
      <c r="A6" s="9">
        <v>24045856</v>
      </c>
      <c r="B6" s="9" t="s">
        <v>26</v>
      </c>
      <c r="C6" s="9" t="s">
        <v>13</v>
      </c>
      <c r="D6" s="10">
        <f t="shared" si="0"/>
        <v>1</v>
      </c>
      <c r="E6" s="9" t="s">
        <v>51</v>
      </c>
      <c r="F6" s="9" t="s">
        <v>439</v>
      </c>
      <c r="G6" s="9" t="s">
        <v>16</v>
      </c>
      <c r="H6" s="9" t="s">
        <v>288</v>
      </c>
      <c r="I6" s="9" t="s">
        <v>443</v>
      </c>
      <c r="J6" s="10"/>
    </row>
    <row r="7" spans="1:14" ht="31.5" x14ac:dyDescent="0.25">
      <c r="A7" s="9">
        <v>23125055</v>
      </c>
      <c r="B7" s="9" t="s">
        <v>26</v>
      </c>
      <c r="C7" s="9" t="s">
        <v>13</v>
      </c>
      <c r="D7" s="10">
        <f t="shared" si="0"/>
        <v>1</v>
      </c>
      <c r="E7" s="9" t="s">
        <v>51</v>
      </c>
      <c r="F7" s="9" t="s">
        <v>439</v>
      </c>
      <c r="G7" s="9" t="s">
        <v>16</v>
      </c>
      <c r="H7" s="9" t="s">
        <v>288</v>
      </c>
      <c r="I7" s="9" t="s">
        <v>444</v>
      </c>
      <c r="J7" s="10"/>
    </row>
    <row r="8" spans="1:14" ht="47.25" x14ac:dyDescent="0.25">
      <c r="A8" s="9">
        <v>24075182</v>
      </c>
      <c r="B8" s="9" t="s">
        <v>185</v>
      </c>
      <c r="C8" s="9" t="s">
        <v>13</v>
      </c>
      <c r="D8" s="10">
        <f t="shared" si="0"/>
        <v>1</v>
      </c>
      <c r="E8" s="9" t="s">
        <v>51</v>
      </c>
      <c r="F8" s="9" t="s">
        <v>29</v>
      </c>
      <c r="G8" s="9" t="s">
        <v>16</v>
      </c>
      <c r="H8" s="9" t="s">
        <v>288</v>
      </c>
      <c r="I8" s="9" t="s">
        <v>445</v>
      </c>
      <c r="J8" s="10"/>
    </row>
    <row r="9" spans="1:14" ht="63" x14ac:dyDescent="0.25">
      <c r="A9" s="9">
        <v>23051274</v>
      </c>
      <c r="B9" s="9" t="s">
        <v>26</v>
      </c>
      <c r="C9" s="9" t="s">
        <v>13</v>
      </c>
      <c r="D9" s="10">
        <f t="shared" si="0"/>
        <v>1</v>
      </c>
      <c r="E9" s="9" t="s">
        <v>14</v>
      </c>
      <c r="F9" s="9" t="s">
        <v>439</v>
      </c>
      <c r="G9" s="9" t="s">
        <v>16</v>
      </c>
      <c r="H9" s="11">
        <v>45413</v>
      </c>
      <c r="I9" s="9" t="s">
        <v>446</v>
      </c>
      <c r="J9" s="10"/>
    </row>
    <row r="10" spans="1:14" ht="47.25" x14ac:dyDescent="0.25">
      <c r="A10" s="9">
        <v>22050030</v>
      </c>
      <c r="B10" s="9" t="s">
        <v>447</v>
      </c>
      <c r="C10" s="9" t="s">
        <v>13</v>
      </c>
      <c r="D10" s="10">
        <f t="shared" si="0"/>
        <v>1</v>
      </c>
      <c r="E10" s="9" t="s">
        <v>14</v>
      </c>
      <c r="F10" s="9" t="s">
        <v>21</v>
      </c>
      <c r="G10" s="9" t="s">
        <v>16</v>
      </c>
      <c r="H10" s="11">
        <v>45413</v>
      </c>
      <c r="I10" s="9" t="s">
        <v>448</v>
      </c>
      <c r="J10" s="10"/>
    </row>
    <row r="11" spans="1:14" ht="31.5" x14ac:dyDescent="0.25">
      <c r="A11" s="9">
        <v>16030610</v>
      </c>
      <c r="B11" s="9" t="s">
        <v>111</v>
      </c>
      <c r="C11" s="9" t="s">
        <v>112</v>
      </c>
      <c r="D11" s="10">
        <f t="shared" si="0"/>
        <v>1</v>
      </c>
      <c r="E11" s="9" t="s">
        <v>14</v>
      </c>
      <c r="F11" s="9" t="s">
        <v>29</v>
      </c>
      <c r="G11" s="9" t="s">
        <v>16</v>
      </c>
      <c r="H11" s="11">
        <v>45413</v>
      </c>
      <c r="I11" s="9" t="s">
        <v>449</v>
      </c>
      <c r="J11" s="10"/>
    </row>
    <row r="12" spans="1:14" ht="63" x14ac:dyDescent="0.25">
      <c r="A12" s="12">
        <v>23051423</v>
      </c>
      <c r="B12" s="12" t="s">
        <v>79</v>
      </c>
      <c r="C12" s="12" t="s">
        <v>80</v>
      </c>
      <c r="D12" s="13">
        <f t="shared" si="0"/>
        <v>1</v>
      </c>
      <c r="E12" s="12" t="s">
        <v>14</v>
      </c>
      <c r="F12" s="12" t="s">
        <v>450</v>
      </c>
      <c r="G12" s="12" t="s">
        <v>16</v>
      </c>
      <c r="H12" s="14">
        <v>45415</v>
      </c>
      <c r="I12" s="12" t="s">
        <v>451</v>
      </c>
      <c r="J12" s="13" t="s">
        <v>452</v>
      </c>
    </row>
    <row r="13" spans="1:14" ht="63" x14ac:dyDescent="0.25">
      <c r="A13" s="12">
        <v>23052263</v>
      </c>
      <c r="B13" s="12" t="s">
        <v>79</v>
      </c>
      <c r="C13" s="12" t="s">
        <v>80</v>
      </c>
      <c r="D13" s="13">
        <f t="shared" si="0"/>
        <v>1</v>
      </c>
      <c r="E13" s="12" t="s">
        <v>14</v>
      </c>
      <c r="F13" s="12" t="s">
        <v>453</v>
      </c>
      <c r="G13" s="12" t="s">
        <v>16</v>
      </c>
      <c r="H13" s="15">
        <v>45415</v>
      </c>
      <c r="I13" s="12" t="s">
        <v>454</v>
      </c>
      <c r="J13" s="13" t="s">
        <v>455</v>
      </c>
    </row>
    <row r="14" spans="1:14" ht="47.25" x14ac:dyDescent="0.25">
      <c r="A14" s="10">
        <v>20012304</v>
      </c>
      <c r="B14" s="9" t="s">
        <v>20</v>
      </c>
      <c r="C14" s="9" t="s">
        <v>13</v>
      </c>
      <c r="D14" s="10">
        <f t="shared" si="0"/>
        <v>1</v>
      </c>
      <c r="E14" s="9" t="s">
        <v>14</v>
      </c>
      <c r="F14" s="9" t="s">
        <v>35</v>
      </c>
      <c r="G14" s="9" t="s">
        <v>16</v>
      </c>
      <c r="H14" s="16">
        <v>45426</v>
      </c>
      <c r="I14" s="9" t="s">
        <v>456</v>
      </c>
      <c r="J14" s="10"/>
    </row>
    <row r="15" spans="1:14" ht="47.25" x14ac:dyDescent="0.25">
      <c r="A15" s="13">
        <v>22050524</v>
      </c>
      <c r="B15" s="12" t="s">
        <v>457</v>
      </c>
      <c r="C15" s="12" t="s">
        <v>13</v>
      </c>
      <c r="D15" s="13">
        <f t="shared" si="0"/>
        <v>1</v>
      </c>
      <c r="E15" s="12" t="s">
        <v>14</v>
      </c>
      <c r="F15" s="12" t="s">
        <v>458</v>
      </c>
      <c r="G15" s="12" t="s">
        <v>16</v>
      </c>
      <c r="H15" s="15">
        <v>45428</v>
      </c>
      <c r="I15" s="12" t="s">
        <v>459</v>
      </c>
      <c r="J15" s="13"/>
    </row>
    <row r="16" spans="1:14" ht="15.75" x14ac:dyDescent="0.25">
      <c r="A16" s="10">
        <v>21040083</v>
      </c>
      <c r="B16" s="9" t="s">
        <v>20</v>
      </c>
      <c r="C16" s="9" t="s">
        <v>13</v>
      </c>
      <c r="D16" s="10">
        <f t="shared" si="0"/>
        <v>1</v>
      </c>
      <c r="E16" s="9" t="s">
        <v>14</v>
      </c>
      <c r="F16" s="9" t="s">
        <v>460</v>
      </c>
      <c r="G16" s="10" t="s">
        <v>16</v>
      </c>
      <c r="H16" s="16">
        <v>45468</v>
      </c>
      <c r="I16" s="10" t="s">
        <v>461</v>
      </c>
      <c r="J16" s="10"/>
    </row>
    <row r="17" spans="1:10" ht="30" x14ac:dyDescent="0.25">
      <c r="A17" s="10">
        <v>20100278</v>
      </c>
      <c r="B17" s="10" t="s">
        <v>286</v>
      </c>
      <c r="C17" s="9" t="s">
        <v>287</v>
      </c>
      <c r="D17" s="10">
        <f t="shared" si="0"/>
        <v>1</v>
      </c>
      <c r="E17" s="10" t="s">
        <v>14</v>
      </c>
      <c r="F17" s="10" t="s">
        <v>341</v>
      </c>
      <c r="G17" s="10" t="s">
        <v>16</v>
      </c>
      <c r="H17" s="16">
        <v>45503</v>
      </c>
      <c r="I17" s="10" t="s">
        <v>462</v>
      </c>
      <c r="J17" s="10"/>
    </row>
    <row r="18" spans="1:10" ht="30" x14ac:dyDescent="0.25">
      <c r="A18" s="10">
        <v>20100279</v>
      </c>
      <c r="B18" s="10" t="s">
        <v>286</v>
      </c>
      <c r="C18" s="9" t="s">
        <v>287</v>
      </c>
      <c r="D18" s="10">
        <f t="shared" si="0"/>
        <v>1</v>
      </c>
      <c r="E18" s="10" t="s">
        <v>14</v>
      </c>
      <c r="F18" s="10" t="s">
        <v>312</v>
      </c>
      <c r="G18" s="10" t="s">
        <v>16</v>
      </c>
      <c r="H18" s="16">
        <v>45504</v>
      </c>
      <c r="I18" s="10" t="s">
        <v>463</v>
      </c>
      <c r="J18" s="10"/>
    </row>
    <row r="19" spans="1:10" ht="15.75" x14ac:dyDescent="0.25">
      <c r="A19" s="10">
        <v>21100366</v>
      </c>
      <c r="B19" s="10" t="s">
        <v>286</v>
      </c>
      <c r="C19" s="9" t="s">
        <v>287</v>
      </c>
      <c r="D19" s="10">
        <f t="shared" si="0"/>
        <v>1</v>
      </c>
      <c r="E19" s="10" t="s">
        <v>14</v>
      </c>
      <c r="F19" s="10" t="s">
        <v>288</v>
      </c>
      <c r="G19" s="10" t="s">
        <v>16</v>
      </c>
      <c r="H19" s="16">
        <v>45504</v>
      </c>
      <c r="I19" s="10" t="s">
        <v>464</v>
      </c>
      <c r="J19" s="10"/>
    </row>
    <row r="20" spans="1:10" ht="15.75" x14ac:dyDescent="0.25">
      <c r="A20" s="10">
        <v>21020027</v>
      </c>
      <c r="B20" s="10" t="s">
        <v>286</v>
      </c>
      <c r="C20" s="9" t="s">
        <v>287</v>
      </c>
      <c r="D20" s="10">
        <f t="shared" si="0"/>
        <v>1</v>
      </c>
      <c r="E20" s="10" t="s">
        <v>14</v>
      </c>
      <c r="F20" s="10" t="s">
        <v>288</v>
      </c>
      <c r="G20" s="10" t="s">
        <v>16</v>
      </c>
      <c r="H20" s="16">
        <v>45504</v>
      </c>
      <c r="I20" s="10" t="s">
        <v>465</v>
      </c>
      <c r="J20" s="10"/>
    </row>
    <row r="21" spans="1:10" ht="30" x14ac:dyDescent="0.25">
      <c r="A21" s="10">
        <v>23125076</v>
      </c>
      <c r="B21" s="10" t="s">
        <v>26</v>
      </c>
      <c r="C21" s="9" t="s">
        <v>13</v>
      </c>
      <c r="D21" s="10">
        <f t="shared" si="0"/>
        <v>1</v>
      </c>
      <c r="E21" s="9" t="s">
        <v>51</v>
      </c>
      <c r="F21" s="18" t="s">
        <v>21</v>
      </c>
      <c r="G21" s="10" t="s">
        <v>16</v>
      </c>
      <c r="H21" s="19">
        <v>45566</v>
      </c>
      <c r="I21" s="10" t="s">
        <v>466</v>
      </c>
      <c r="J21" s="18"/>
    </row>
    <row r="22" spans="1:10" ht="30" x14ac:dyDescent="0.25">
      <c r="A22" s="18">
        <v>24075245</v>
      </c>
      <c r="B22" s="10" t="s">
        <v>185</v>
      </c>
      <c r="C22" s="9" t="s">
        <v>13</v>
      </c>
      <c r="D22" s="18">
        <f t="shared" si="0"/>
        <v>1</v>
      </c>
      <c r="E22" s="9" t="s">
        <v>51</v>
      </c>
      <c r="F22" s="18" t="s">
        <v>21</v>
      </c>
      <c r="G22" s="10" t="s">
        <v>16</v>
      </c>
      <c r="H22" s="19">
        <v>45566</v>
      </c>
      <c r="I22" s="10" t="s">
        <v>466</v>
      </c>
      <c r="J22" s="18"/>
    </row>
    <row r="23" spans="1:10" ht="30" x14ac:dyDescent="0.25">
      <c r="A23" s="10">
        <v>24020620</v>
      </c>
      <c r="B23" s="10" t="s">
        <v>26</v>
      </c>
      <c r="C23" s="9" t="s">
        <v>13</v>
      </c>
      <c r="D23" s="10">
        <f t="shared" si="0"/>
        <v>1</v>
      </c>
      <c r="E23" s="9" t="s">
        <v>51</v>
      </c>
      <c r="F23" s="18" t="s">
        <v>21</v>
      </c>
      <c r="G23" s="10" t="s">
        <v>16</v>
      </c>
      <c r="H23" s="19">
        <v>45566</v>
      </c>
      <c r="I23" s="10" t="s">
        <v>466</v>
      </c>
      <c r="J23" s="18"/>
    </row>
    <row r="24" spans="1:10" ht="15.75" x14ac:dyDescent="0.25">
      <c r="A24" s="13">
        <v>24078221</v>
      </c>
      <c r="B24" s="12" t="s">
        <v>211</v>
      </c>
      <c r="C24" s="12" t="s">
        <v>112</v>
      </c>
      <c r="D24" s="13">
        <f t="shared" si="0"/>
        <v>1</v>
      </c>
      <c r="E24" s="13" t="s">
        <v>14</v>
      </c>
      <c r="F24" s="20" t="s">
        <v>467</v>
      </c>
      <c r="G24" s="20" t="s">
        <v>16</v>
      </c>
      <c r="H24" s="21">
        <v>45569</v>
      </c>
      <c r="I24" s="20" t="s">
        <v>468</v>
      </c>
      <c r="J24" s="20"/>
    </row>
    <row r="25" spans="1:10" x14ac:dyDescent="0.25">
      <c r="A25" s="22">
        <v>16020152</v>
      </c>
      <c r="B25" s="22" t="s">
        <v>430</v>
      </c>
      <c r="C25" s="23" t="s">
        <v>13</v>
      </c>
      <c r="D25" s="22">
        <f t="shared" si="0"/>
        <v>1</v>
      </c>
      <c r="E25" s="22" t="s">
        <v>14</v>
      </c>
      <c r="F25" s="22" t="s">
        <v>21</v>
      </c>
      <c r="G25" s="22" t="s">
        <v>16</v>
      </c>
      <c r="H25" s="24">
        <v>45628</v>
      </c>
      <c r="I25" s="22" t="s">
        <v>469</v>
      </c>
      <c r="J25" s="22"/>
    </row>
    <row r="26" spans="1:10" x14ac:dyDescent="0.25">
      <c r="A26" s="26">
        <v>16020069</v>
      </c>
      <c r="B26" s="22" t="s">
        <v>430</v>
      </c>
      <c r="C26" s="23" t="s">
        <v>13</v>
      </c>
      <c r="D26" s="22">
        <f t="shared" ref="D26" si="1">COUNTIF(A:A,A26)</f>
        <v>1</v>
      </c>
      <c r="E26" s="22" t="s">
        <v>14</v>
      </c>
      <c r="F26" s="22" t="s">
        <v>21</v>
      </c>
      <c r="G26" s="22" t="s">
        <v>16</v>
      </c>
      <c r="H26" s="24">
        <v>45628</v>
      </c>
      <c r="I26" s="22" t="s">
        <v>470</v>
      </c>
      <c r="J26" s="26"/>
    </row>
    <row r="27" spans="1:10" x14ac:dyDescent="0.25">
      <c r="A27" s="26">
        <v>16020083</v>
      </c>
      <c r="B27" s="22" t="s">
        <v>430</v>
      </c>
      <c r="C27" s="23" t="s">
        <v>13</v>
      </c>
      <c r="D27" s="22">
        <f t="shared" ref="D27:D28" si="2">COUNTIF(A:A,A27)</f>
        <v>1</v>
      </c>
      <c r="E27" s="22" t="s">
        <v>14</v>
      </c>
      <c r="F27" s="22" t="s">
        <v>21</v>
      </c>
      <c r="G27" s="22" t="s">
        <v>16</v>
      </c>
      <c r="H27" s="24">
        <v>45628</v>
      </c>
      <c r="I27" s="22" t="s">
        <v>471</v>
      </c>
      <c r="J27" s="26"/>
    </row>
    <row r="28" spans="1:10" x14ac:dyDescent="0.25">
      <c r="A28" s="26">
        <v>19070135</v>
      </c>
      <c r="B28" s="27" t="s">
        <v>425</v>
      </c>
      <c r="C28" s="28" t="s">
        <v>112</v>
      </c>
      <c r="D28" s="27">
        <f t="shared" si="2"/>
        <v>1</v>
      </c>
      <c r="E28" s="27" t="s">
        <v>14</v>
      </c>
      <c r="F28" s="27" t="s">
        <v>29</v>
      </c>
      <c r="G28" s="27" t="s">
        <v>16</v>
      </c>
      <c r="H28" s="24">
        <v>45628</v>
      </c>
      <c r="I28" s="22" t="s">
        <v>471</v>
      </c>
      <c r="J28" s="2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6CDBFC7660CC478A227A0E7C908E21" ma:contentTypeVersion="20" ma:contentTypeDescription="Create a new document." ma:contentTypeScope="" ma:versionID="11e44ab6242db5d63ebb030fbd5d66b6">
  <xsd:schema xmlns:xsd="http://www.w3.org/2001/XMLSchema" xmlns:xs="http://www.w3.org/2001/XMLSchema" xmlns:p="http://schemas.microsoft.com/office/2006/metadata/properties" xmlns:ns2="6a5f7485-907e-4db2-96f8-260d1b2f4036" xmlns:ns3="72554611-a2f3-4ff6-9429-7a96fa1e0e08" targetNamespace="http://schemas.microsoft.com/office/2006/metadata/properties" ma:root="true" ma:fieldsID="6a6ccaa37e17a8cb1615be0f74604a4f" ns2:_="" ns3:_="">
    <xsd:import namespace="6a5f7485-907e-4db2-96f8-260d1b2f4036"/>
    <xsd:import namespace="72554611-a2f3-4ff6-9429-7a96fa1e0e08"/>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Location" minOccurs="0"/>
                <xsd:element ref="ns2:MediaServiceOCR" minOccurs="0"/>
                <xsd:element ref="ns3:SharedWithUsers" minOccurs="0"/>
                <xsd:element ref="ns3:SharedWithDetails" minOccurs="0"/>
                <xsd:element ref="ns2:_Flow_SignoffStatus" minOccurs="0"/>
                <xsd:element ref="ns2:MediaServiceGenerationTime" minOccurs="0"/>
                <xsd:element ref="ns2:MediaServiceEventHashCode"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Photo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5f7485-907e-4db2-96f8-260d1b2f40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Location" ma:index="12" nillable="true" ma:displayName="Location" ma:internalName="MediaServiceLocatio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_Flow_SignoffStatus" ma:index="16" nillable="true" ma:displayName="Sign-off status" ma:internalName="_x0024_Resources_x003a_core_x002c_Signoff_Status_x003b_">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656f3e0c-91f6-4fc9-9d4a-312aecfa4577" ma:termSetId="09814cd3-568e-fe90-9814-8d621ff8fb84" ma:anchorId="fba54fb3-c3e1-fe81-a776-ca4b69148c4d" ma:open="true" ma:isKeyword="false">
      <xsd:complexType>
        <xsd:sequence>
          <xsd:element ref="pc:Terms" minOccurs="0" maxOccurs="1"/>
        </xsd:sequence>
      </xsd:complexType>
    </xsd:element>
    <xsd:element name="Photos" ma:index="25" nillable="true" ma:displayName="Photos" ma:format="Thumbnail" ma:internalName="Photos">
      <xsd:simpleType>
        <xsd:restriction base="dms:Unknown"/>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2554611-a2f3-4ff6-9429-7a96fa1e0e08"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5e98b497-247b-4437-8a1d-4ee0c9e67261}" ma:internalName="TaxCatchAll" ma:showField="CatchAllData" ma:web="72554611-a2f3-4ff6-9429-7a96fa1e0e0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a5f7485-907e-4db2-96f8-260d1b2f4036">
      <Terms xmlns="http://schemas.microsoft.com/office/infopath/2007/PartnerControls"/>
    </lcf76f155ced4ddcb4097134ff3c332f>
    <TaxCatchAll xmlns="72554611-a2f3-4ff6-9429-7a96fa1e0e08" xsi:nil="true"/>
    <Photos xmlns="6a5f7485-907e-4db2-96f8-260d1b2f4036" xsi:nil="true"/>
    <_Flow_SignoffStatus xmlns="6a5f7485-907e-4db2-96f8-260d1b2f4036" xsi:nil="true"/>
  </documentManagement>
</p:properties>
</file>

<file path=customXml/itemProps1.xml><?xml version="1.0" encoding="utf-8"?>
<ds:datastoreItem xmlns:ds="http://schemas.openxmlformats.org/officeDocument/2006/customXml" ds:itemID="{80E3FB9D-D855-49E7-BFF3-9BF3805A90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5f7485-907e-4db2-96f8-260d1b2f4036"/>
    <ds:schemaRef ds:uri="72554611-a2f3-4ff6-9429-7a96fa1e0e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7D5A0F4-4368-403B-AB5C-ED8C34851C31}">
  <ds:schemaRefs>
    <ds:schemaRef ds:uri="http://schemas.microsoft.com/sharepoint/v3/contenttype/forms"/>
  </ds:schemaRefs>
</ds:datastoreItem>
</file>

<file path=customXml/itemProps3.xml><?xml version="1.0" encoding="utf-8"?>
<ds:datastoreItem xmlns:ds="http://schemas.openxmlformats.org/officeDocument/2006/customXml" ds:itemID="{9CFF1651-723A-4F0E-8A2B-CE54AEDDAE76}">
  <ds:schemaRefs>
    <ds:schemaRef ds:uri="http://purl.org/dc/terms/"/>
    <ds:schemaRef ds:uri="6a5f7485-907e-4db2-96f8-260d1b2f40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72554611-a2f3-4ff6-9429-7a96fa1e0e08"/>
    <ds:schemaRef ds:uri="http://schemas.microsoft.com/office/2006/metadata/propertie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2024</vt:lpstr>
      <vt:lpstr>Write Offs&amp;In Progress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Adam Carroll</dc:creator>
  <cp:keywords/>
  <dc:description/>
  <cp:lastModifiedBy>Nicholas Battle</cp:lastModifiedBy>
  <cp:revision/>
  <dcterms:created xsi:type="dcterms:W3CDTF">2024-03-28T05:37:26Z</dcterms:created>
  <dcterms:modified xsi:type="dcterms:W3CDTF">2024-12-05T04:09:53Z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0x010100C36CDBFC7660CC478A227A0E7C908E21</vt:lpwstr>
  </property>
  <property fmtid="{D5CDD505-2E9C-101B-9397-08002B2CF9AE}" pid="3" name="MediaServiceImageTags">
    <vt:lpwstr/>
  </property>
</Properties>
</file>